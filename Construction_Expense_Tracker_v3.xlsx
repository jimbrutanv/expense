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s" sheetId="1" r:id="rId5"/>
    <sheet state="visible" name="Expenses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<sst xmlns="http://schemas.openxmlformats.org/spreadsheetml/2006/main" count="72" uniqueCount="63">
  <si>
    <t>🏗   PROJECT STAKEHOLDERS &amp; PROFIT CONFIGURATION</t>
  </si>
  <si>
    <t>Stakeholder Name</t>
  </si>
  <si>
    <t>Role / Company</t>
  </si>
  <si>
    <t>Contact</t>
  </si>
  <si>
    <t>Notes</t>
  </si>
  <si>
    <t>Fixed Split %</t>
  </si>
  <si>
    <t>Profit Share</t>
  </si>
  <si>
    <t>Total Contributed</t>
  </si>
  <si>
    <t>Settlement</t>
  </si>
  <si>
    <t>TOTALS</t>
  </si>
  <si>
    <t>ℹ  Rows 3–12 support up to 10 stakeholders. Enter name + Fixed Split %. Columns F–H are auto-calculated. Blue cells = user input.</t>
  </si>
  <si>
    <t>🏗   DAILY CONSTRUCTION EXPENSE LOG</t>
  </si>
  <si>
    <t>Enter one expense per row. Type any category. Split amounts across stakeholders (cols F–O). Split Check column auto-validates totals.</t>
  </si>
  <si>
    <t>Date</t>
  </si>
  <si>
    <t>Expense ID</t>
  </si>
  <si>
    <t>Description</t>
  </si>
  <si>
    <t>Category</t>
  </si>
  <si>
    <t>Total Expense</t>
  </si>
  <si>
    <t>Split Check</t>
  </si>
  <si>
    <t>Receipt #</t>
  </si>
  <si>
    <t>Payment Method</t>
  </si>
  <si>
    <t>🏗   CONSTRUCTION PROJECT — MANAGEMENT DASHBOARD</t>
  </si>
  <si>
    <t>📊  PROJECT SNAPSHOT</t>
  </si>
  <si>
    <t>💰  PROFIT SUMMARY</t>
  </si>
  <si>
    <t>Total Project Spend</t>
  </si>
  <si>
    <t>Sale Price</t>
  </si>
  <si>
    <t>Project Sale Price</t>
  </si>
  <si>
    <t>Total Project Cost</t>
  </si>
  <si>
    <t>Gross Profit</t>
  </si>
  <si>
    <t>Net Profit Margin</t>
  </si>
  <si>
    <t>Total Expenses Logged</t>
  </si>
  <si>
    <t>Split % Validated</t>
  </si>
  <si>
    <t>Avg Expense per Entry</t>
  </si>
  <si>
    <t>Split Mismatches</t>
  </si>
  <si>
    <t>Outstanding Splits</t>
  </si>
  <si>
    <t>💰  PROJECT SALE PRICE (enter value →)</t>
  </si>
  <si>
    <t>📂  SPEND BY CATEGORY</t>
  </si>
  <si>
    <t>👥  STAKEHOLDER CONTRIBUTIONS</t>
  </si>
  <si>
    <t>Total</t>
  </si>
  <si>
    <t>% Share</t>
  </si>
  <si>
    <t># Entries</t>
  </si>
  <si>
    <t>Stakeholder</t>
  </si>
  <si>
    <t>Split %</t>
  </si>
  <si>
    <t>Contributed</t>
  </si>
  <si>
    <t>Status</t>
  </si>
  <si>
    <t>Materials</t>
  </si>
  <si>
    <t>Labour</t>
  </si>
  <si>
    <t>Transport</t>
  </si>
  <si>
    <t>Permits &amp; Fees</t>
  </si>
  <si>
    <t>Equipment Rental</t>
  </si>
  <si>
    <t>Subcontractors</t>
  </si>
  <si>
    <t>Site Overhead</t>
  </si>
  <si>
    <t>Safety &amp; PPE</t>
  </si>
  <si>
    <t>Professional Fees</t>
  </si>
  <si>
    <t>Utilities</t>
  </si>
  <si>
    <t>Miscellaneous</t>
  </si>
  <si>
    <t>TOTAL</t>
  </si>
  <si>
    <t>🧾  EXPENSE SETTLEMENT SUMMARY</t>
  </si>
  <si>
    <t>Expenses Paid</t>
  </si>
  <si>
    <t>Share of Cost</t>
  </si>
  <si>
    <t>Over/Under-Paid</t>
  </si>
  <si>
    <t>To Pay / Receive</t>
  </si>
  <si>
    <t>Settled?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</si>
</sst>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yyyy\-mm\-dd"/>
  </numFmts>
  <fonts count="23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rgb="FFFFFFFF"/>
      <name val="Arial"/>
    </font>
    <font>
      <sz val="10.0"/>
      <color rgb="FF000000"/>
      <name val="Arial"/>
    </font>
    <font>
      <b/>
      <sz val="10.0"/>
      <color rgb="FF0000FF"/>
      <name val="Arial"/>
    </font>
    <font>
      <b/>
      <sz val="10.0"/>
      <color rgb="FF1E7E34"/>
      <name val="Arial"/>
    </font>
    <font>
      <b/>
      <sz val="10.0"/>
      <color rgb="FF2E6DA4"/>
      <name val="Arial"/>
    </font>
    <font>
      <b/>
      <sz val="10.0"/>
      <color rgb="FFFFFFFF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b/>
      <sz val="10.0"/>
      <color rgb="FF1F3A5F"/>
      <name val="Arial"/>
    </font>
    <font>
      <sz val="11.0"/>
      <color theme="1"/>
      <name val="Calibri"/>
    </font>
    <font>
      <b/>
      <sz val="9.0"/>
      <color rgb="FF1F3A5F"/>
      <name val="Arial"/>
    </font>
    <font>
      <b/>
      <sz val="18.0"/>
      <color rgb="FFFFFFFF"/>
      <name val="Arial"/>
    </font>
    <font>
      <b/>
      <sz val="11.0"/>
      <color rgb="FFFFFFFF"/>
      <name val="Arial"/>
    </font>
    <font>
      <b/>
      <sz val="11.0"/>
      <color rgb="FF1E7E34"/>
      <name val="Arial"/>
    </font>
    <font>
      <b/>
      <sz val="11.0"/>
      <color rgb="FF0000FF"/>
      <name val="Arial"/>
    </font>
    <font>
      <b/>
      <sz val="11.0"/>
      <color rgb="FFC0392B"/>
      <name val="Arial"/>
    </font>
    <font>
      <b/>
      <sz val="11.0"/>
      <color rgb="FF2E6DA4"/>
      <name val="Arial"/>
    </font>
    <font>
      <b/>
      <sz val="11.0"/>
      <color rgb="FF1F3A5F"/>
      <name val="Arial"/>
    </font>
    <font>
      <b/>
      <sz val="14.0"/>
      <color rgb="FF0000FF"/>
      <name val="Arial"/>
    </font>
    <font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AFBFC"/>
        <bgColor rgb="FFFAFBFC"/>
      </patternFill>
    </fill>
    <fill>
      <patternFill patternType="solid">
        <fgColor rgb="FFF4F6F9"/>
        <bgColor rgb="FFF4F6F9"/>
      </patternFill>
    </fill>
    <fill>
      <patternFill patternType="solid">
        <fgColor rgb="FF1E7E34"/>
        <bgColor rgb="FF1E7E34"/>
      </patternFill>
    </fill>
    <fill>
      <patternFill patternType="solid">
        <fgColor rgb="FF2E6DA4"/>
        <bgColor rgb="FF2E6DA4"/>
      </patternFill>
    </fill>
    <fill>
      <patternFill patternType="solid">
        <fgColor rgb="FFFFFBEA"/>
        <bgColor rgb="FFFFFBEA"/>
      </patternFill>
    </fill>
    <fill>
      <patternFill patternType="solid">
        <fgColor rgb="FF264653"/>
        <bgColor rgb="FF264653"/>
      </patternFill>
    </fill>
  </fills>
  <borders count="11">
    <border/>
    <border>
      <left style="medium">
        <color rgb="FF1F3A5F"/>
      </left>
      <top style="medium">
        <color rgb="FF1F3A5F"/>
      </top>
      <bottom style="medium">
        <color rgb="FF1F3A5F"/>
      </bottom>
    </border>
    <border>
      <top style="medium">
        <color rgb="FF1F3A5F"/>
      </top>
      <bottom style="medium">
        <color rgb="FF1F3A5F"/>
      </bottom>
    </border>
    <border>
      <right/>
      <top style="medium">
        <color rgb="FF1F3A5F"/>
      </top>
      <bottom style="medium">
        <color rgb="FF1F3A5F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BD5E0"/>
      </left>
      <top style="thin">
        <color rgb="FFCBD5E0"/>
      </top>
      <bottom style="thin">
        <color rgb="FFCBD5E0"/>
      </bottom>
    </border>
    <border>
      <top style="thin">
        <color rgb="FFCBD5E0"/>
      </top>
      <bottom style="thin">
        <color rgb="FFCBD5E0"/>
      </bottom>
    </border>
    <border>
      <right/>
      <top style="thin">
        <color rgb="FFCBD5E0"/>
      </top>
      <bottom style="thin">
        <color rgb="FFCBD5E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4" fillId="3" fontId="6" numFmtId="4" xfId="0" applyAlignment="1" applyBorder="1" applyFont="1" applyNumberFormat="1">
      <alignment horizontal="center" shrinkToFit="0" vertical="center" wrapText="1"/>
    </xf>
    <xf borderId="4" fillId="3" fontId="7" numFmtId="4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5" numFmtId="164" xfId="0" applyAlignment="1" applyBorder="1" applyFont="1" applyNumberFormat="1">
      <alignment horizontal="center" shrinkToFit="0" vertical="center" wrapText="1"/>
    </xf>
    <xf borderId="4" fillId="4" fontId="6" numFmtId="4" xfId="0" applyAlignment="1" applyBorder="1" applyFont="1" applyNumberFormat="1">
      <alignment horizontal="center" shrinkToFit="0" vertical="center" wrapText="1"/>
    </xf>
    <xf borderId="4" fillId="4" fontId="7" numFmtId="4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5" fontId="8" numFmtId="4" xfId="0" applyAlignment="1" applyBorder="1" applyFill="1" applyFont="1" applyNumberFormat="1">
      <alignment horizontal="center" shrinkToFit="0" vertical="center" wrapText="1"/>
    </xf>
    <xf borderId="4" fillId="6" fontId="8" numFmtId="4" xfId="0" applyAlignment="1" applyBorder="1" applyFill="1" applyFont="1" applyNumberFormat="1">
      <alignment horizontal="center" shrinkToFit="0" vertical="center" wrapText="1"/>
    </xf>
    <xf borderId="4" fillId="2" fontId="8" numFmtId="4" xfId="0" applyAlignment="1" applyBorder="1" applyFont="1" applyNumberForma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5" fillId="7" fontId="10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8" fontId="3" numFmtId="0" xfId="0" applyAlignment="1" applyBorder="1" applyFill="1" applyFont="1">
      <alignment horizontal="center" shrinkToFit="0" vertical="center" wrapText="1"/>
    </xf>
    <xf borderId="4" fillId="4" fontId="4" numFmtId="165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4" numFmtId="4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4" fontId="12" numFmtId="0" xfId="0" applyBorder="1" applyFont="1"/>
    <xf borderId="4" fillId="3" fontId="4" numFmtId="165" xfId="0" applyAlignment="1" applyBorder="1" applyFont="1" applyNumberForma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4" numFmtId="4" xfId="0" applyAlignment="1" applyBorder="1" applyFont="1" applyNumberFormat="1">
      <alignment horizontal="center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4" fillId="3" fontId="12" numFmtId="0" xfId="0" applyBorder="1" applyFont="1"/>
    <xf borderId="4" fillId="4" fontId="12" numFmtId="165" xfId="0" applyAlignment="1" applyBorder="1" applyFont="1" applyNumberForma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2" numFmtId="4" xfId="0" applyAlignment="1" applyBorder="1" applyFont="1" applyNumberForma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3" fontId="12" numFmtId="165" xfId="0" applyAlignment="1" applyBorder="1" applyFont="1" applyNumberFormat="1">
      <alignment horizontal="center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4" fillId="3" fontId="12" numFmtId="4" xfId="0" applyAlignment="1" applyBorder="1" applyFont="1" applyNumberFormat="1">
      <alignment horizontal="center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8" fillId="4" fontId="11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4" fontId="16" numFmtId="4" xfId="0" applyAlignment="1" applyBorder="1" applyFont="1" applyNumberFormat="1">
      <alignment horizontal="right" shrinkToFit="0" vertical="center" wrapText="1"/>
    </xf>
    <xf borderId="8" fillId="4" fontId="17" numFmtId="4" xfId="0" applyAlignment="1" applyBorder="1" applyFont="1" applyNumberFormat="1">
      <alignment horizontal="right" shrinkToFit="0" vertical="center" wrapText="1"/>
    </xf>
    <xf borderId="8" fillId="3" fontId="11" numFmtId="0" xfId="0" applyAlignment="1" applyBorder="1" applyFont="1">
      <alignment horizontal="left" shrinkToFit="0" vertical="center" wrapText="1"/>
    </xf>
    <xf borderId="8" fillId="3" fontId="17" numFmtId="4" xfId="0" applyAlignment="1" applyBorder="1" applyFont="1" applyNumberFormat="1">
      <alignment horizontal="right" shrinkToFit="0" vertical="center" wrapText="1"/>
    </xf>
    <xf borderId="8" fillId="3" fontId="18" numFmtId="4" xfId="0" applyAlignment="1" applyBorder="1" applyFont="1" applyNumberFormat="1">
      <alignment horizontal="right" shrinkToFit="0" vertical="center" wrapText="1"/>
    </xf>
    <xf borderId="8" fillId="3" fontId="19" numFmtId="164" xfId="0" applyAlignment="1" applyBorder="1" applyFont="1" applyNumberFormat="1">
      <alignment horizontal="right" shrinkToFit="0" vertical="center" wrapText="1"/>
    </xf>
    <xf borderId="8" fillId="3" fontId="16" numFmtId="164" xfId="0" applyAlignment="1" applyBorder="1" applyFont="1" applyNumberFormat="1">
      <alignment horizontal="right" shrinkToFit="0" vertical="center" wrapText="1"/>
    </xf>
    <xf borderId="8" fillId="4" fontId="20" numFmtId="3" xfId="0" applyAlignment="1" applyBorder="1" applyFont="1" applyNumberFormat="1">
      <alignment horizontal="right" shrinkToFit="0" vertical="center" wrapText="1"/>
    </xf>
    <xf borderId="8" fillId="4" fontId="16" numFmtId="0" xfId="0" applyAlignment="1" applyBorder="1" applyFont="1">
      <alignment horizontal="right" shrinkToFit="0" vertical="center" wrapText="1"/>
    </xf>
    <xf borderId="8" fillId="3" fontId="20" numFmtId="4" xfId="0" applyAlignment="1" applyBorder="1" applyFont="1" applyNumberFormat="1">
      <alignment horizontal="right" shrinkToFit="0" vertical="center" wrapText="1"/>
    </xf>
    <xf borderId="8" fillId="4" fontId="18" numFmtId="3" xfId="0" applyAlignment="1" applyBorder="1" applyFont="1" applyNumberFormat="1">
      <alignment horizontal="right" shrinkToFit="0" vertical="center" wrapText="1"/>
    </xf>
    <xf borderId="8" fillId="3" fontId="20" numFmtId="3" xfId="0" applyAlignment="1" applyBorder="1" applyFont="1" applyNumberFormat="1">
      <alignment horizontal="right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1" fillId="7" fontId="21" numFmtId="4" xfId="0" applyAlignment="1" applyBorder="1" applyFont="1" applyNumberFormat="1">
      <alignment horizontal="right" shrinkToFit="0" vertical="center" wrapText="1"/>
    </xf>
    <xf borderId="1" fillId="8" fontId="15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left" shrinkToFit="0" vertical="center" wrapText="1"/>
    </xf>
    <xf borderId="8" fillId="3" fontId="7" numFmtId="4" xfId="0" applyAlignment="1" applyBorder="1" applyFont="1" applyNumberFormat="1">
      <alignment horizontal="right" shrinkToFit="0" vertical="center" wrapText="1"/>
    </xf>
    <xf borderId="4" fillId="3" fontId="4" numFmtId="164" xfId="0" applyAlignment="1" applyBorder="1" applyFont="1" applyNumberFormat="1">
      <alignment horizontal="center" shrinkToFit="0" vertical="center" wrapText="1"/>
    </xf>
    <xf borderId="4" fillId="3" fontId="4" numFmtId="3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4" fillId="4" fontId="22" numFmtId="164" xfId="0" applyAlignment="1" applyBorder="1" applyFont="1" applyNumberFormat="1">
      <alignment horizontal="center" shrinkToFit="0" vertical="center" wrapText="1"/>
    </xf>
    <xf borderId="4" fillId="4" fontId="7" numFmtId="4" xfId="0" applyAlignment="1" applyBorder="1" applyFont="1" applyNumberFormat="1">
      <alignment horizontal="right" shrinkToFit="0" vertical="center" wrapText="1"/>
    </xf>
    <xf borderId="4" fillId="4" fontId="6" numFmtId="4" xfId="0" applyAlignment="1" applyBorder="1" applyFont="1" applyNumberFormat="1">
      <alignment horizontal="right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7" numFmtId="4" xfId="0" applyAlignment="1" applyBorder="1" applyFont="1" applyNumberFormat="1">
      <alignment horizontal="right" shrinkToFit="0" vertical="center" wrapText="1"/>
    </xf>
    <xf borderId="4" fillId="4" fontId="4" numFmtId="164" xfId="0" applyAlignment="1" applyBorder="1" applyFont="1" applyNumberFormat="1">
      <alignment horizontal="center" shrinkToFit="0" vertical="center" wrapText="1"/>
    </xf>
    <xf borderId="4" fillId="4" fontId="4" numFmtId="3" xfId="0" applyAlignment="1" applyBorder="1" applyFont="1" applyNumberFormat="1">
      <alignment horizontal="center" shrinkToFit="0" vertical="center" wrapText="1"/>
    </xf>
    <xf borderId="4" fillId="3" fontId="11" numFmtId="0" xfId="0" applyAlignment="1" applyBorder="1" applyFont="1">
      <alignment horizontal="left" shrinkToFit="0" vertical="center" wrapText="1"/>
    </xf>
    <xf borderId="4" fillId="3" fontId="22" numFmtId="164" xfId="0" applyAlignment="1" applyBorder="1" applyFont="1" applyNumberFormat="1">
      <alignment horizontal="center" shrinkToFit="0" vertical="center" wrapText="1"/>
    </xf>
    <xf borderId="4" fillId="3" fontId="7" numFmtId="4" xfId="0" applyAlignment="1" applyBorder="1" applyFont="1" applyNumberFormat="1">
      <alignment horizontal="right" shrinkToFit="0" vertical="center" wrapText="1"/>
    </xf>
    <xf borderId="4" fillId="3" fontId="6" numFmtId="4" xfId="0" applyAlignment="1" applyBorder="1" applyFont="1" applyNumberFormat="1">
      <alignment horizontal="right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shrinkToFit="0" vertical="center" wrapText="1"/>
    </xf>
    <xf borderId="8" fillId="2" fontId="12" numFmtId="0" xfId="0" applyBorder="1" applyFont="1"/>
    <xf borderId="8" fillId="2" fontId="8" numFmtId="4" xfId="0" applyAlignment="1" applyBorder="1" applyFont="1" applyNumberFormat="1">
      <alignment horizontal="right" shrinkToFit="0" vertical="center" wrapText="1"/>
    </xf>
    <xf borderId="4" fillId="2" fontId="12" numFmtId="0" xfId="0" applyBorder="1" applyFont="1"/>
    <xf borderId="4" fillId="4" fontId="11" numFmtId="4" xfId="0" applyAlignment="1" applyBorder="1" applyFont="1" applyNumberFormat="1">
      <alignment horizontal="righ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3" fontId="11" numFmtId="4" xfId="0" applyAlignment="1" applyBorder="1" applyFont="1" applyNumberFormat="1">
      <alignment horizontal="right" shrinkToFit="0" vertical="center" wrapText="1"/>
    </xf>
    <xf borderId="4" fillId="3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Stakeholder Contributions vs Profit Share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Contributed</c:v>
          </c:tx>
          <c:spPr>
            <a:solidFill>
              <a:srgbClr val="2E6DA4"/>
            </a:solidFill>
            <a:ln cmpd="sng">
              <a:solidFill>
                <a:srgbClr val="000000"/>
              </a:solidFill>
            </a:ln>
          </c:spPr>
          <c:cat>
            <c:strRef>
              <c:f>Dashboard!$A$18:$A$27</c:f>
            </c:strRef>
          </c:cat>
          <c:val>
            <c:numRef>
              <c:f>Dashboard!$C$18:$C$27</c:f>
              <c:numCache/>
            </c:numRef>
          </c:val>
        </c:ser>
        <c:ser>
          <c:idx val="1"/>
          <c:order val="1"/>
          <c:tx>
            <c:v>Profit Share</c:v>
          </c:tx>
          <c:spPr>
            <a:solidFill>
              <a:srgbClr val="1E7E34"/>
            </a:solidFill>
            <a:ln cmpd="sng">
              <a:solidFill>
                <a:srgbClr val="000000"/>
              </a:solidFill>
            </a:ln>
          </c:spPr>
          <c:cat>
            <c:strRef>
              <c:f>Dashboard!$A$18:$A$27</c:f>
            </c:strRef>
          </c:cat>
          <c:val>
            <c:numRef>
              <c:f>Dashboard!$D$18:$D$27</c:f>
              <c:numCache/>
            </c:numRef>
          </c:val>
        </c:ser>
        <c:axId val="1973210803"/>
        <c:axId val="421091132"/>
      </c:barChart>
      <c:catAx>
        <c:axId val="1973210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1091132"/>
      </c:catAx>
      <c:valAx>
        <c:axId val="421091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32108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Spend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Dashboard!$M$16</c:f>
            </c:strRef>
          </c:tx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Pt>
            <c:idx val="10"/>
            <c:spPr>
              <a:solidFill>
                <a:srgbClr val="92C3D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Dashboard!$I$17:$I$27</c:f>
            </c:strRef>
          </c:cat>
          <c:val>
            <c:numRef>
              <c:f>Dashboard!$M$17:$M$27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29</xdr:row>
      <xdr:rowOff>0</xdr:rowOff>
    </xdr:from>
    <xdr:ext cx="7496175" cy="4610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51</xdr:row>
      <xdr:rowOff>0</xdr:rowOff>
    </xdr:from>
    <xdr:ext cx="7496175" cy="44481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 fitToPage="1"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4.0"/>
    <col customWidth="1" min="3" max="3" width="22.0"/>
    <col customWidth="1" min="4" max="4" width="26.0"/>
    <col customWidth="1" min="5" max="5" width="14.0"/>
    <col customWidth="1" min="6" max="8" width="16.0"/>
    <col customWidth="1" min="9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9.5" customHeight="1">
      <c r="A3" s="5"/>
      <c r="B3" s="5"/>
      <c r="C3" s="5"/>
      <c r="D3" s="5"/>
      <c r="E3" s="6"/>
      <c r="F3" s="7"/>
      <c r="G3" s="8"/>
      <c r="H3" s="7"/>
    </row>
    <row r="4" ht="19.5" customHeight="1">
      <c r="A4" s="9"/>
      <c r="B4" s="9"/>
      <c r="C4" s="9"/>
      <c r="D4" s="9"/>
      <c r="E4" s="10"/>
      <c r="F4" s="11"/>
      <c r="G4" s="12"/>
      <c r="H4" s="11"/>
    </row>
    <row r="5" ht="19.5" customHeight="1">
      <c r="A5" s="5"/>
      <c r="B5" s="5"/>
      <c r="C5" s="5"/>
      <c r="D5" s="5"/>
      <c r="E5" s="6"/>
      <c r="F5" s="7"/>
      <c r="G5" s="8"/>
      <c r="H5" s="7"/>
    </row>
    <row r="6" ht="19.5" customHeight="1">
      <c r="A6" s="9"/>
      <c r="B6" s="9"/>
      <c r="C6" s="9"/>
      <c r="D6" s="9"/>
      <c r="E6" s="10"/>
      <c r="F6" s="11"/>
      <c r="G6" s="12"/>
      <c r="H6" s="11"/>
    </row>
    <row r="7" ht="19.5" customHeight="1">
      <c r="A7" s="5"/>
      <c r="B7" s="5"/>
      <c r="C7" s="5"/>
      <c r="D7" s="5"/>
      <c r="E7" s="6"/>
      <c r="F7" s="7"/>
      <c r="G7" s="8"/>
      <c r="H7" s="7"/>
    </row>
    <row r="8" ht="19.5" customHeight="1">
      <c r="A8" s="9"/>
      <c r="B8" s="9"/>
      <c r="C8" s="9"/>
      <c r="D8" s="9"/>
      <c r="E8" s="10"/>
      <c r="F8" s="11"/>
      <c r="G8" s="12"/>
      <c r="H8" s="11"/>
    </row>
    <row r="9" ht="19.5" customHeight="1">
      <c r="A9" s="5"/>
      <c r="B9" s="5"/>
      <c r="C9" s="5"/>
      <c r="D9" s="5"/>
      <c r="E9" s="6"/>
      <c r="F9" s="7"/>
      <c r="G9" s="8"/>
      <c r="H9" s="7"/>
    </row>
    <row r="10" ht="19.5" customHeight="1">
      <c r="A10" s="9"/>
      <c r="B10" s="9"/>
      <c r="C10" s="9"/>
      <c r="D10" s="9"/>
      <c r="E10" s="10"/>
      <c r="F10" s="11"/>
      <c r="G10" s="12"/>
      <c r="H10" s="11"/>
    </row>
    <row r="11" ht="19.5" customHeight="1">
      <c r="A11" s="5"/>
      <c r="B11" s="5"/>
      <c r="C11" s="5"/>
      <c r="D11" s="5"/>
      <c r="E11" s="6"/>
      <c r="F11" s="7"/>
      <c r="G11" s="8"/>
      <c r="H11" s="7"/>
    </row>
    <row r="12" ht="19.5" customHeight="1">
      <c r="A12" s="9"/>
      <c r="B12" s="9"/>
      <c r="C12" s="9"/>
      <c r="D12" s="9"/>
      <c r="E12" s="10"/>
      <c r="F12" s="11"/>
      <c r="G12" s="12"/>
      <c r="H12" s="11"/>
    </row>
    <row r="13" ht="21.75" customHeight="1">
      <c r="A13" s="13" t="s">
        <v>9</v>
      </c>
      <c r="B13" s="13"/>
      <c r="C13" s="13"/>
      <c r="D13" s="13"/>
      <c r="E13" s="14">
        <f t="shared" ref="E13:H13" si="1">SUM(E3:E12)</f>
        <v>0</v>
      </c>
      <c r="F13" s="15">
        <f t="shared" si="1"/>
        <v>0</v>
      </c>
      <c r="G13" s="16">
        <f t="shared" si="1"/>
        <v>0</v>
      </c>
      <c r="H13" s="17">
        <f t="shared" si="1"/>
        <v>0</v>
      </c>
    </row>
    <row r="14" ht="21.75" customHeight="1">
      <c r="A14" s="18" t="str">
        <f>IF(ABS(SUM(E3:E12)-1)&lt;0.001,"✔  Fixed Split % totals 100% — OK","⚠  WARNING: Split % = "&amp;TEXT(SUM(E3:E12),"0%")&amp;" — must equal exactly 100%")</f>
        <v>⚠  WARNING: Split % = 0% — must equal exactly 100%</v>
      </c>
      <c r="B14" s="2"/>
      <c r="C14" s="2"/>
      <c r="D14" s="2"/>
      <c r="E14" s="2"/>
      <c r="F14" s="2"/>
      <c r="G14" s="2"/>
      <c r="H14" s="3"/>
    </row>
    <row r="15" ht="18.0" customHeight="1">
      <c r="A15" s="19" t="s">
        <v>10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14:H14"/>
    <mergeCell ref="A15:H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DA4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2.0"/>
    <col customWidth="1" min="3" max="3" width="32.0"/>
    <col customWidth="1" min="4" max="4" width="20.0"/>
    <col customWidth="1" min="5" max="5" width="16.0"/>
    <col customWidth="1" min="6" max="15" width="15.0"/>
    <col customWidth="1" min="16" max="16" width="13.0"/>
    <col customWidth="1" min="17" max="17" width="12.0"/>
    <col customWidth="1" min="18" max="18" width="16.0"/>
    <col customWidth="1" min="19" max="19" width="28.0"/>
    <col customWidth="1" min="20" max="26" width="8.71"/>
  </cols>
  <sheetData>
    <row r="1" ht="36.0" customHeight="1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5.75" customHeight="1">
      <c r="A2" s="20" t="s">
        <v>12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2"/>
    </row>
    <row r="3" ht="42.0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23" t="str">
        <f>IF(Stakeholders!A3&lt;&gt;"",Stakeholders!A3,"Stakeholder "&amp;1)</f>
        <v>Stakeholder 1</v>
      </c>
      <c r="G3" s="23" t="str">
        <f>IF(Stakeholders!A4&lt;&gt;"",Stakeholders!A4,"Stakeholder "&amp;2)</f>
        <v>Stakeholder 2</v>
      </c>
      <c r="H3" s="23" t="str">
        <f>IF(Stakeholders!A5&lt;&gt;"",Stakeholders!A5,"Stakeholder "&amp;3)</f>
        <v>Stakeholder 3</v>
      </c>
      <c r="I3" s="23" t="str">
        <f>IF(Stakeholders!A6&lt;&gt;"",Stakeholders!A6,"Stakeholder "&amp;4)</f>
        <v>Stakeholder 4</v>
      </c>
      <c r="J3" s="23" t="str">
        <f>IF(Stakeholders!A7&lt;&gt;"",Stakeholders!A7,"Stakeholder "&amp;5)</f>
        <v>Stakeholder 5</v>
      </c>
      <c r="K3" s="23" t="str">
        <f>IF(Stakeholders!A8&lt;&gt;"",Stakeholders!A8,"Stakeholder "&amp;6)</f>
        <v>Stakeholder 6</v>
      </c>
      <c r="L3" s="23" t="str">
        <f>IF(Stakeholders!A9&lt;&gt;"",Stakeholders!A9,"Stakeholder "&amp;7)</f>
        <v>Stakeholder 7</v>
      </c>
      <c r="M3" s="23" t="str">
        <f>IF(Stakeholders!A10&lt;&gt;"",Stakeholders!A10,"Stakeholder "&amp;8)</f>
        <v>Stakeholder 8</v>
      </c>
      <c r="N3" s="23" t="str">
        <f>IF(Stakeholders!A11&lt;&gt;"",Stakeholders!A11,"Stakeholder "&amp;9)</f>
        <v>Stakeholder 9</v>
      </c>
      <c r="O3" s="23" t="str">
        <f>IF(Stakeholders!A12&lt;&gt;"",Stakeholders!A12,"Stakeholder "&amp;10)</f>
        <v>Stakeholder 10</v>
      </c>
      <c r="P3" s="4" t="s">
        <v>18</v>
      </c>
      <c r="Q3" s="4" t="s">
        <v>19</v>
      </c>
      <c r="R3" s="4" t="s">
        <v>20</v>
      </c>
      <c r="S3" s="4" t="s">
        <v>4</v>
      </c>
    </row>
    <row r="4" ht="19.5" customHeight="1">
      <c r="A4" s="24"/>
      <c r="B4" s="25"/>
      <c r="C4" s="9"/>
      <c r="D4" s="25"/>
      <c r="E4" s="11"/>
      <c r="F4" s="26"/>
      <c r="G4" s="26"/>
      <c r="H4" s="26"/>
      <c r="I4" s="26"/>
      <c r="J4" s="26"/>
      <c r="K4" s="26"/>
      <c r="L4" s="26"/>
      <c r="M4" s="26"/>
      <c r="N4" s="26"/>
      <c r="O4" s="26"/>
      <c r="P4" s="27" t="str">
        <f t="shared" ref="P4:P1003" si="1">IF(E4=0,"-",IF(ABS(E4-(F4+G4+H4+I4+J4+K4+L4+M4+N4+O4))&lt;0.01,"✔ OK","⚠ Mismatch"))</f>
        <v>-</v>
      </c>
      <c r="Q4" s="25"/>
      <c r="R4" s="25"/>
      <c r="S4" s="28"/>
    </row>
    <row r="5" ht="19.5" customHeight="1">
      <c r="A5" s="29"/>
      <c r="B5" s="30"/>
      <c r="C5" s="5"/>
      <c r="D5" s="30"/>
      <c r="E5" s="7"/>
      <c r="F5" s="31"/>
      <c r="G5" s="31"/>
      <c r="H5" s="31"/>
      <c r="I5" s="31"/>
      <c r="J5" s="31"/>
      <c r="K5" s="31"/>
      <c r="L5" s="31"/>
      <c r="M5" s="31"/>
      <c r="N5" s="31"/>
      <c r="O5" s="31"/>
      <c r="P5" s="32" t="str">
        <f t="shared" si="1"/>
        <v>-</v>
      </c>
      <c r="Q5" s="30"/>
      <c r="R5" s="30"/>
      <c r="S5" s="33"/>
    </row>
    <row r="6" ht="19.5" customHeight="1">
      <c r="A6" s="24"/>
      <c r="B6" s="25"/>
      <c r="C6" s="9"/>
      <c r="D6" s="25"/>
      <c r="E6" s="11"/>
      <c r="F6" s="26"/>
      <c r="G6" s="26"/>
      <c r="H6" s="26"/>
      <c r="I6" s="26"/>
      <c r="J6" s="26"/>
      <c r="K6" s="26"/>
      <c r="L6" s="26"/>
      <c r="M6" s="26"/>
      <c r="N6" s="26"/>
      <c r="O6" s="26"/>
      <c r="P6" s="27" t="str">
        <f t="shared" si="1"/>
        <v>-</v>
      </c>
      <c r="Q6" s="25"/>
      <c r="R6" s="25"/>
      <c r="S6" s="28"/>
    </row>
    <row r="7" ht="19.5" customHeight="1">
      <c r="A7" s="29"/>
      <c r="B7" s="30"/>
      <c r="C7" s="5"/>
      <c r="D7" s="30"/>
      <c r="E7" s="7"/>
      <c r="F7" s="31"/>
      <c r="G7" s="31"/>
      <c r="H7" s="31"/>
      <c r="I7" s="31"/>
      <c r="J7" s="31"/>
      <c r="K7" s="31"/>
      <c r="L7" s="31"/>
      <c r="M7" s="31"/>
      <c r="N7" s="31"/>
      <c r="O7" s="31"/>
      <c r="P7" s="32" t="str">
        <f t="shared" si="1"/>
        <v>-</v>
      </c>
      <c r="Q7" s="30"/>
      <c r="R7" s="30"/>
      <c r="S7" s="33"/>
    </row>
    <row r="8" ht="19.5" customHeight="1">
      <c r="A8" s="24"/>
      <c r="B8" s="25"/>
      <c r="C8" s="9"/>
      <c r="D8" s="25"/>
      <c r="E8" s="11"/>
      <c r="F8" s="26"/>
      <c r="G8" s="26"/>
      <c r="H8" s="26"/>
      <c r="I8" s="26"/>
      <c r="J8" s="26"/>
      <c r="K8" s="26"/>
      <c r="L8" s="26"/>
      <c r="M8" s="26"/>
      <c r="N8" s="26"/>
      <c r="O8" s="26"/>
      <c r="P8" s="27" t="str">
        <f t="shared" si="1"/>
        <v>-</v>
      </c>
      <c r="Q8" s="25"/>
      <c r="R8" s="25"/>
      <c r="S8" s="28"/>
    </row>
    <row r="9" ht="19.5" customHeight="1">
      <c r="A9" s="29"/>
      <c r="B9" s="30"/>
      <c r="C9" s="5"/>
      <c r="D9" s="30"/>
      <c r="E9" s="7"/>
      <c r="F9" s="31"/>
      <c r="G9" s="31"/>
      <c r="H9" s="31"/>
      <c r="I9" s="31"/>
      <c r="J9" s="31"/>
      <c r="K9" s="31"/>
      <c r="L9" s="31"/>
      <c r="M9" s="31"/>
      <c r="N9" s="31"/>
      <c r="O9" s="31"/>
      <c r="P9" s="32" t="str">
        <f t="shared" si="1"/>
        <v>-</v>
      </c>
      <c r="Q9" s="30"/>
      <c r="R9" s="30"/>
      <c r="S9" s="33"/>
    </row>
    <row r="10" ht="19.5" customHeight="1">
      <c r="A10" s="24"/>
      <c r="B10" s="25"/>
      <c r="C10" s="9"/>
      <c r="D10" s="25"/>
      <c r="E10" s="11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 t="str">
        <f t="shared" si="1"/>
        <v>-</v>
      </c>
      <c r="Q10" s="25"/>
      <c r="R10" s="25"/>
      <c r="S10" s="28"/>
    </row>
    <row r="11" ht="19.5" customHeight="1">
      <c r="A11" s="29"/>
      <c r="B11" s="30"/>
      <c r="C11" s="5"/>
      <c r="D11" s="30"/>
      <c r="E11" s="7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2" t="str">
        <f t="shared" si="1"/>
        <v>-</v>
      </c>
      <c r="Q11" s="30"/>
      <c r="R11" s="30"/>
      <c r="S11" s="33"/>
    </row>
    <row r="12" ht="19.5" customHeight="1">
      <c r="A12" s="24"/>
      <c r="B12" s="25"/>
      <c r="C12" s="9"/>
      <c r="D12" s="25"/>
      <c r="E12" s="11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 t="str">
        <f t="shared" si="1"/>
        <v>-</v>
      </c>
      <c r="Q12" s="25"/>
      <c r="R12" s="25"/>
      <c r="S12" s="28"/>
    </row>
    <row r="13" ht="19.5" customHeight="1">
      <c r="A13" s="29"/>
      <c r="B13" s="30"/>
      <c r="C13" s="5"/>
      <c r="D13" s="30"/>
      <c r="E13" s="7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2" t="str">
        <f t="shared" si="1"/>
        <v>-</v>
      </c>
      <c r="Q13" s="30"/>
      <c r="R13" s="30"/>
      <c r="S13" s="33"/>
    </row>
    <row r="14" ht="19.5" customHeight="1">
      <c r="A14" s="34"/>
      <c r="B14" s="35"/>
      <c r="C14" s="35"/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7" t="str">
        <f t="shared" si="1"/>
        <v>-</v>
      </c>
      <c r="Q14" s="35"/>
      <c r="R14" s="35"/>
    </row>
    <row r="15" ht="19.5" customHeight="1">
      <c r="A15" s="38"/>
      <c r="B15" s="39"/>
      <c r="C15" s="39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1" t="str">
        <f t="shared" si="1"/>
        <v>-</v>
      </c>
      <c r="Q15" s="39"/>
      <c r="R15" s="39"/>
    </row>
    <row r="16" ht="19.5" customHeight="1">
      <c r="A16" s="34"/>
      <c r="B16" s="35"/>
      <c r="C16" s="35"/>
      <c r="D16" s="3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 t="str">
        <f t="shared" si="1"/>
        <v>-</v>
      </c>
      <c r="Q16" s="35"/>
      <c r="R16" s="35"/>
    </row>
    <row r="17" ht="19.5" customHeight="1">
      <c r="A17" s="38"/>
      <c r="B17" s="39"/>
      <c r="C17" s="39"/>
      <c r="D17" s="39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 t="str">
        <f t="shared" si="1"/>
        <v>-</v>
      </c>
      <c r="Q17" s="39"/>
      <c r="R17" s="39"/>
    </row>
    <row r="18" ht="19.5" customHeight="1">
      <c r="A18" s="34"/>
      <c r="B18" s="35"/>
      <c r="C18" s="35"/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 t="str">
        <f t="shared" si="1"/>
        <v>-</v>
      </c>
      <c r="Q18" s="35"/>
      <c r="R18" s="35"/>
    </row>
    <row r="19" ht="19.5" customHeight="1">
      <c r="A19" s="38"/>
      <c r="B19" s="39"/>
      <c r="C19" s="39"/>
      <c r="D19" s="39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1" t="str">
        <f t="shared" si="1"/>
        <v>-</v>
      </c>
      <c r="Q19" s="39"/>
      <c r="R19" s="39"/>
    </row>
    <row r="20" ht="19.5" customHeight="1">
      <c r="A20" s="34"/>
      <c r="B20" s="35"/>
      <c r="C20" s="35"/>
      <c r="D20" s="35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 t="str">
        <f t="shared" si="1"/>
        <v>-</v>
      </c>
      <c r="Q20" s="35"/>
      <c r="R20" s="35"/>
    </row>
    <row r="21" ht="19.5" customHeight="1">
      <c r="A21" s="38"/>
      <c r="B21" s="39"/>
      <c r="C21" s="39"/>
      <c r="D21" s="39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 t="str">
        <f t="shared" si="1"/>
        <v>-</v>
      </c>
      <c r="Q21" s="39"/>
      <c r="R21" s="39"/>
    </row>
    <row r="22" ht="19.5" customHeight="1">
      <c r="A22" s="34"/>
      <c r="B22" s="35"/>
      <c r="C22" s="35"/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 t="str">
        <f t="shared" si="1"/>
        <v>-</v>
      </c>
      <c r="Q22" s="35"/>
      <c r="R22" s="35"/>
    </row>
    <row r="23" ht="19.5" customHeight="1">
      <c r="A23" s="38"/>
      <c r="B23" s="39"/>
      <c r="C23" s="39"/>
      <c r="D23" s="39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1" t="str">
        <f t="shared" si="1"/>
        <v>-</v>
      </c>
      <c r="Q23" s="39"/>
      <c r="R23" s="39"/>
    </row>
    <row r="24" ht="19.5" customHeight="1">
      <c r="A24" s="34"/>
      <c r="B24" s="35"/>
      <c r="C24" s="35"/>
      <c r="D24" s="35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 t="str">
        <f t="shared" si="1"/>
        <v>-</v>
      </c>
      <c r="Q24" s="35"/>
      <c r="R24" s="35"/>
    </row>
    <row r="25" ht="19.5" customHeight="1">
      <c r="A25" s="38"/>
      <c r="B25" s="39"/>
      <c r="C25" s="39"/>
      <c r="D25" s="39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1" t="str">
        <f t="shared" si="1"/>
        <v>-</v>
      </c>
      <c r="Q25" s="39"/>
      <c r="R25" s="39"/>
    </row>
    <row r="26" ht="19.5" customHeight="1">
      <c r="A26" s="34"/>
      <c r="B26" s="35"/>
      <c r="C26" s="35"/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7" t="str">
        <f t="shared" si="1"/>
        <v>-</v>
      </c>
      <c r="Q26" s="35"/>
      <c r="R26" s="35"/>
    </row>
    <row r="27" ht="19.5" customHeight="1">
      <c r="A27" s="38"/>
      <c r="B27" s="39"/>
      <c r="C27" s="39"/>
      <c r="D27" s="39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1" t="str">
        <f t="shared" si="1"/>
        <v>-</v>
      </c>
      <c r="Q27" s="39"/>
      <c r="R27" s="39"/>
    </row>
    <row r="28" ht="19.5" customHeight="1">
      <c r="A28" s="34"/>
      <c r="B28" s="35"/>
      <c r="C28" s="35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7" t="str">
        <f t="shared" si="1"/>
        <v>-</v>
      </c>
      <c r="Q28" s="35"/>
      <c r="R28" s="35"/>
    </row>
    <row r="29" ht="19.5" customHeight="1">
      <c r="A29" s="38"/>
      <c r="B29" s="39"/>
      <c r="C29" s="39"/>
      <c r="D29" s="39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1" t="str">
        <f t="shared" si="1"/>
        <v>-</v>
      </c>
      <c r="Q29" s="39"/>
      <c r="R29" s="39"/>
    </row>
    <row r="30" ht="19.5" customHeight="1">
      <c r="A30" s="34"/>
      <c r="B30" s="35"/>
      <c r="C30" s="35"/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7" t="str">
        <f t="shared" si="1"/>
        <v>-</v>
      </c>
      <c r="Q30" s="35"/>
      <c r="R30" s="35"/>
    </row>
    <row r="31" ht="19.5" customHeight="1">
      <c r="A31" s="38"/>
      <c r="B31" s="39"/>
      <c r="C31" s="39"/>
      <c r="D31" s="39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1" t="str">
        <f t="shared" si="1"/>
        <v>-</v>
      </c>
      <c r="Q31" s="39"/>
      <c r="R31" s="39"/>
    </row>
    <row r="32" ht="19.5" customHeight="1">
      <c r="A32" s="34"/>
      <c r="B32" s="35"/>
      <c r="C32" s="35"/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7" t="str">
        <f t="shared" si="1"/>
        <v>-</v>
      </c>
      <c r="Q32" s="35"/>
      <c r="R32" s="35"/>
    </row>
    <row r="33" ht="19.5" customHeight="1">
      <c r="A33" s="38"/>
      <c r="B33" s="39"/>
      <c r="C33" s="39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1" t="str">
        <f t="shared" si="1"/>
        <v>-</v>
      </c>
      <c r="Q33" s="39"/>
      <c r="R33" s="39"/>
    </row>
    <row r="34" ht="19.5" customHeight="1">
      <c r="A34" s="34"/>
      <c r="B34" s="35"/>
      <c r="C34" s="35"/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 t="str">
        <f t="shared" si="1"/>
        <v>-</v>
      </c>
      <c r="Q34" s="35"/>
      <c r="R34" s="35"/>
    </row>
    <row r="35" ht="19.5" customHeight="1">
      <c r="A35" s="38"/>
      <c r="B35" s="39"/>
      <c r="C35" s="39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1" t="str">
        <f t="shared" si="1"/>
        <v>-</v>
      </c>
      <c r="Q35" s="39"/>
      <c r="R35" s="39"/>
    </row>
    <row r="36" ht="19.5" customHeight="1">
      <c r="A36" s="34"/>
      <c r="B36" s="35"/>
      <c r="C36" s="35"/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7" t="str">
        <f t="shared" si="1"/>
        <v>-</v>
      </c>
      <c r="Q36" s="35"/>
      <c r="R36" s="35"/>
    </row>
    <row r="37" ht="19.5" customHeight="1">
      <c r="A37" s="38"/>
      <c r="B37" s="39"/>
      <c r="C37" s="39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1" t="str">
        <f t="shared" si="1"/>
        <v>-</v>
      </c>
      <c r="Q37" s="39"/>
      <c r="R37" s="39"/>
    </row>
    <row r="38" ht="19.5" customHeight="1">
      <c r="A38" s="34"/>
      <c r="B38" s="35"/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7" t="str">
        <f t="shared" si="1"/>
        <v>-</v>
      </c>
      <c r="Q38" s="35"/>
      <c r="R38" s="35"/>
    </row>
    <row r="39" ht="19.5" customHeight="1">
      <c r="A39" s="38"/>
      <c r="B39" s="39"/>
      <c r="C39" s="39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1" t="str">
        <f t="shared" si="1"/>
        <v>-</v>
      </c>
      <c r="Q39" s="39"/>
      <c r="R39" s="39"/>
    </row>
    <row r="40" ht="19.5" customHeight="1">
      <c r="A40" s="34"/>
      <c r="B40" s="35"/>
      <c r="C40" s="35"/>
      <c r="D40" s="35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7" t="str">
        <f t="shared" si="1"/>
        <v>-</v>
      </c>
      <c r="Q40" s="35"/>
      <c r="R40" s="35"/>
    </row>
    <row r="41" ht="19.5" customHeight="1">
      <c r="A41" s="38"/>
      <c r="B41" s="39"/>
      <c r="C41" s="39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1" t="str">
        <f t="shared" si="1"/>
        <v>-</v>
      </c>
      <c r="Q41" s="39"/>
      <c r="R41" s="39"/>
    </row>
    <row r="42" ht="19.5" customHeight="1">
      <c r="A42" s="34"/>
      <c r="B42" s="35"/>
      <c r="C42" s="35"/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7" t="str">
        <f t="shared" si="1"/>
        <v>-</v>
      </c>
      <c r="Q42" s="35"/>
      <c r="R42" s="35"/>
    </row>
    <row r="43" ht="19.5" customHeight="1">
      <c r="A43" s="38"/>
      <c r="B43" s="39"/>
      <c r="C43" s="39"/>
      <c r="D43" s="3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1" t="str">
        <f t="shared" si="1"/>
        <v>-</v>
      </c>
      <c r="Q43" s="39"/>
      <c r="R43" s="39"/>
    </row>
    <row r="44" ht="19.5" customHeight="1">
      <c r="A44" s="34"/>
      <c r="B44" s="35"/>
      <c r="C44" s="35"/>
      <c r="D44" s="35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7" t="str">
        <f t="shared" si="1"/>
        <v>-</v>
      </c>
      <c r="Q44" s="35"/>
      <c r="R44" s="35"/>
    </row>
    <row r="45" ht="19.5" customHeight="1">
      <c r="A45" s="38"/>
      <c r="B45" s="39"/>
      <c r="C45" s="39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1" t="str">
        <f t="shared" si="1"/>
        <v>-</v>
      </c>
      <c r="Q45" s="39"/>
      <c r="R45" s="39"/>
    </row>
    <row r="46" ht="19.5" customHeight="1">
      <c r="A46" s="34"/>
      <c r="B46" s="35"/>
      <c r="C46" s="35"/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7" t="str">
        <f t="shared" si="1"/>
        <v>-</v>
      </c>
      <c r="Q46" s="35"/>
      <c r="R46" s="35"/>
    </row>
    <row r="47" ht="19.5" customHeight="1">
      <c r="A47" s="38"/>
      <c r="B47" s="39"/>
      <c r="C47" s="39"/>
      <c r="D47" s="3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1" t="str">
        <f t="shared" si="1"/>
        <v>-</v>
      </c>
      <c r="Q47" s="39"/>
      <c r="R47" s="39"/>
    </row>
    <row r="48" ht="19.5" customHeight="1">
      <c r="A48" s="34"/>
      <c r="B48" s="35"/>
      <c r="C48" s="35"/>
      <c r="D48" s="35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7" t="str">
        <f t="shared" si="1"/>
        <v>-</v>
      </c>
      <c r="Q48" s="35"/>
      <c r="R48" s="35"/>
    </row>
    <row r="49" ht="19.5" customHeight="1">
      <c r="A49" s="38"/>
      <c r="B49" s="39"/>
      <c r="C49" s="39"/>
      <c r="D49" s="3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1" t="str">
        <f t="shared" si="1"/>
        <v>-</v>
      </c>
      <c r="Q49" s="39"/>
      <c r="R49" s="39"/>
    </row>
    <row r="50" ht="19.5" customHeight="1">
      <c r="A50" s="34"/>
      <c r="B50" s="35"/>
      <c r="C50" s="35"/>
      <c r="D50" s="35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7" t="str">
        <f t="shared" si="1"/>
        <v>-</v>
      </c>
      <c r="Q50" s="35"/>
      <c r="R50" s="35"/>
    </row>
    <row r="51" ht="19.5" customHeight="1">
      <c r="A51" s="38"/>
      <c r="B51" s="39"/>
      <c r="C51" s="39"/>
      <c r="D51" s="3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1" t="str">
        <f t="shared" si="1"/>
        <v>-</v>
      </c>
      <c r="Q51" s="39"/>
      <c r="R51" s="39"/>
    </row>
    <row r="52" ht="19.5" customHeight="1">
      <c r="A52" s="34"/>
      <c r="B52" s="35"/>
      <c r="C52" s="35"/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7" t="str">
        <f t="shared" si="1"/>
        <v>-</v>
      </c>
      <c r="Q52" s="35"/>
      <c r="R52" s="35"/>
    </row>
    <row r="53" ht="19.5" customHeight="1">
      <c r="A53" s="38"/>
      <c r="B53" s="39"/>
      <c r="C53" s="39"/>
      <c r="D53" s="3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1" t="str">
        <f t="shared" si="1"/>
        <v>-</v>
      </c>
      <c r="Q53" s="39"/>
      <c r="R53" s="39"/>
    </row>
    <row r="54" ht="19.5" customHeight="1">
      <c r="A54" s="34"/>
      <c r="B54" s="35"/>
      <c r="C54" s="35"/>
      <c r="D54" s="35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7" t="str">
        <f t="shared" si="1"/>
        <v>-</v>
      </c>
      <c r="Q54" s="35"/>
      <c r="R54" s="35"/>
    </row>
    <row r="55" ht="19.5" customHeight="1">
      <c r="A55" s="38"/>
      <c r="B55" s="39"/>
      <c r="C55" s="39"/>
      <c r="D55" s="3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1" t="str">
        <f t="shared" si="1"/>
        <v>-</v>
      </c>
      <c r="Q55" s="39"/>
      <c r="R55" s="39"/>
    </row>
    <row r="56" ht="19.5" customHeight="1">
      <c r="A56" s="34"/>
      <c r="B56" s="35"/>
      <c r="C56" s="35"/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7" t="str">
        <f t="shared" si="1"/>
        <v>-</v>
      </c>
      <c r="Q56" s="35"/>
      <c r="R56" s="35"/>
    </row>
    <row r="57" ht="19.5" customHeight="1">
      <c r="A57" s="38"/>
      <c r="B57" s="39"/>
      <c r="C57" s="39"/>
      <c r="D57" s="39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1" t="str">
        <f t="shared" si="1"/>
        <v>-</v>
      </c>
      <c r="Q57" s="39"/>
      <c r="R57" s="39"/>
    </row>
    <row r="58" ht="19.5" customHeight="1">
      <c r="A58" s="34"/>
      <c r="B58" s="35"/>
      <c r="C58" s="35"/>
      <c r="D58" s="35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 t="str">
        <f t="shared" si="1"/>
        <v>-</v>
      </c>
      <c r="Q58" s="35"/>
      <c r="R58" s="35"/>
    </row>
    <row r="59" ht="19.5" customHeight="1">
      <c r="A59" s="38"/>
      <c r="B59" s="39"/>
      <c r="C59" s="39"/>
      <c r="D59" s="3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1" t="str">
        <f t="shared" si="1"/>
        <v>-</v>
      </c>
      <c r="Q59" s="39"/>
      <c r="R59" s="39"/>
    </row>
    <row r="60" ht="19.5" customHeight="1">
      <c r="A60" s="34"/>
      <c r="B60" s="35"/>
      <c r="C60" s="35"/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7" t="str">
        <f t="shared" si="1"/>
        <v>-</v>
      </c>
      <c r="Q60" s="35"/>
      <c r="R60" s="35"/>
    </row>
    <row r="61" ht="19.5" customHeight="1">
      <c r="A61" s="38"/>
      <c r="B61" s="39"/>
      <c r="C61" s="39"/>
      <c r="D61" s="3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1" t="str">
        <f t="shared" si="1"/>
        <v>-</v>
      </c>
      <c r="Q61" s="39"/>
      <c r="R61" s="39"/>
    </row>
    <row r="62" ht="19.5" customHeight="1">
      <c r="A62" s="34"/>
      <c r="B62" s="35"/>
      <c r="C62" s="35"/>
      <c r="D62" s="35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7" t="str">
        <f t="shared" si="1"/>
        <v>-</v>
      </c>
      <c r="Q62" s="35"/>
      <c r="R62" s="35"/>
    </row>
    <row r="63" ht="19.5" customHeight="1">
      <c r="A63" s="38"/>
      <c r="B63" s="39"/>
      <c r="C63" s="39"/>
      <c r="D63" s="3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1" t="str">
        <f t="shared" si="1"/>
        <v>-</v>
      </c>
      <c r="Q63" s="39"/>
      <c r="R63" s="39"/>
    </row>
    <row r="64" ht="19.5" customHeight="1">
      <c r="A64" s="34"/>
      <c r="B64" s="35"/>
      <c r="C64" s="35"/>
      <c r="D64" s="35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7" t="str">
        <f t="shared" si="1"/>
        <v>-</v>
      </c>
      <c r="Q64" s="35"/>
      <c r="R64" s="35"/>
    </row>
    <row r="65" ht="19.5" customHeight="1">
      <c r="A65" s="38"/>
      <c r="B65" s="39"/>
      <c r="C65" s="39"/>
      <c r="D65" s="3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1" t="str">
        <f t="shared" si="1"/>
        <v>-</v>
      </c>
      <c r="Q65" s="39"/>
      <c r="R65" s="39"/>
    </row>
    <row r="66" ht="19.5" customHeight="1">
      <c r="A66" s="34"/>
      <c r="B66" s="35"/>
      <c r="C66" s="35"/>
      <c r="D66" s="35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7" t="str">
        <f t="shared" si="1"/>
        <v>-</v>
      </c>
      <c r="Q66" s="35"/>
      <c r="R66" s="35"/>
    </row>
    <row r="67" ht="19.5" customHeight="1">
      <c r="A67" s="38"/>
      <c r="B67" s="39"/>
      <c r="C67" s="39"/>
      <c r="D67" s="3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1" t="str">
        <f t="shared" si="1"/>
        <v>-</v>
      </c>
      <c r="Q67" s="39"/>
      <c r="R67" s="39"/>
    </row>
    <row r="68" ht="19.5" customHeight="1">
      <c r="A68" s="34"/>
      <c r="B68" s="35"/>
      <c r="C68" s="35"/>
      <c r="D68" s="35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7" t="str">
        <f t="shared" si="1"/>
        <v>-</v>
      </c>
      <c r="Q68" s="35"/>
      <c r="R68" s="35"/>
    </row>
    <row r="69" ht="19.5" customHeight="1">
      <c r="A69" s="38"/>
      <c r="B69" s="39"/>
      <c r="C69" s="39"/>
      <c r="D69" s="3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1" t="str">
        <f t="shared" si="1"/>
        <v>-</v>
      </c>
      <c r="Q69" s="39"/>
      <c r="R69" s="39"/>
    </row>
    <row r="70" ht="19.5" customHeight="1">
      <c r="A70" s="34"/>
      <c r="B70" s="35"/>
      <c r="C70" s="35"/>
      <c r="D70" s="35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7" t="str">
        <f t="shared" si="1"/>
        <v>-</v>
      </c>
      <c r="Q70" s="35"/>
      <c r="R70" s="35"/>
    </row>
    <row r="71" ht="19.5" customHeight="1">
      <c r="A71" s="38"/>
      <c r="B71" s="39"/>
      <c r="C71" s="39"/>
      <c r="D71" s="3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1" t="str">
        <f t="shared" si="1"/>
        <v>-</v>
      </c>
      <c r="Q71" s="39"/>
      <c r="R71" s="39"/>
    </row>
    <row r="72" ht="19.5" customHeight="1">
      <c r="A72" s="34"/>
      <c r="B72" s="35"/>
      <c r="C72" s="35"/>
      <c r="D72" s="35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7" t="str">
        <f t="shared" si="1"/>
        <v>-</v>
      </c>
      <c r="Q72" s="35"/>
      <c r="R72" s="35"/>
    </row>
    <row r="73" ht="19.5" customHeight="1">
      <c r="A73" s="38"/>
      <c r="B73" s="39"/>
      <c r="C73" s="39"/>
      <c r="D73" s="39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1" t="str">
        <f t="shared" si="1"/>
        <v>-</v>
      </c>
      <c r="Q73" s="39"/>
      <c r="R73" s="39"/>
    </row>
    <row r="74" ht="19.5" customHeight="1">
      <c r="A74" s="34"/>
      <c r="B74" s="35"/>
      <c r="C74" s="35"/>
      <c r="D74" s="35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7" t="str">
        <f t="shared" si="1"/>
        <v>-</v>
      </c>
      <c r="Q74" s="35"/>
      <c r="R74" s="35"/>
    </row>
    <row r="75" ht="19.5" customHeight="1">
      <c r="A75" s="38"/>
      <c r="B75" s="39"/>
      <c r="C75" s="39"/>
      <c r="D75" s="39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1" t="str">
        <f t="shared" si="1"/>
        <v>-</v>
      </c>
      <c r="Q75" s="39"/>
      <c r="R75" s="39"/>
    </row>
    <row r="76" ht="19.5" customHeight="1">
      <c r="A76" s="34"/>
      <c r="B76" s="35"/>
      <c r="C76" s="35"/>
      <c r="D76" s="35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7" t="str">
        <f t="shared" si="1"/>
        <v>-</v>
      </c>
      <c r="Q76" s="35"/>
      <c r="R76" s="35"/>
    </row>
    <row r="77" ht="19.5" customHeight="1">
      <c r="A77" s="38"/>
      <c r="B77" s="39"/>
      <c r="C77" s="39"/>
      <c r="D77" s="39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1" t="str">
        <f t="shared" si="1"/>
        <v>-</v>
      </c>
      <c r="Q77" s="39"/>
      <c r="R77" s="39"/>
    </row>
    <row r="78" ht="19.5" customHeight="1">
      <c r="A78" s="34"/>
      <c r="B78" s="35"/>
      <c r="C78" s="35"/>
      <c r="D78" s="35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7" t="str">
        <f t="shared" si="1"/>
        <v>-</v>
      </c>
      <c r="Q78" s="35"/>
      <c r="R78" s="35"/>
    </row>
    <row r="79" ht="19.5" customHeight="1">
      <c r="A79" s="38"/>
      <c r="B79" s="39"/>
      <c r="C79" s="39"/>
      <c r="D79" s="3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1" t="str">
        <f t="shared" si="1"/>
        <v>-</v>
      </c>
      <c r="Q79" s="39"/>
      <c r="R79" s="39"/>
    </row>
    <row r="80" ht="19.5" customHeight="1">
      <c r="A80" s="34"/>
      <c r="B80" s="35"/>
      <c r="C80" s="35"/>
      <c r="D80" s="35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7" t="str">
        <f t="shared" si="1"/>
        <v>-</v>
      </c>
      <c r="Q80" s="35"/>
      <c r="R80" s="35"/>
    </row>
    <row r="81" ht="19.5" customHeight="1">
      <c r="A81" s="38"/>
      <c r="B81" s="39"/>
      <c r="C81" s="39"/>
      <c r="D81" s="39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1" t="str">
        <f t="shared" si="1"/>
        <v>-</v>
      </c>
      <c r="Q81" s="39"/>
      <c r="R81" s="39"/>
    </row>
    <row r="82" ht="19.5" customHeight="1">
      <c r="A82" s="34"/>
      <c r="B82" s="35"/>
      <c r="C82" s="35"/>
      <c r="D82" s="35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7" t="str">
        <f t="shared" si="1"/>
        <v>-</v>
      </c>
      <c r="Q82" s="35"/>
      <c r="R82" s="35"/>
    </row>
    <row r="83" ht="19.5" customHeight="1">
      <c r="A83" s="38"/>
      <c r="B83" s="39"/>
      <c r="C83" s="39"/>
      <c r="D83" s="39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1" t="str">
        <f t="shared" si="1"/>
        <v>-</v>
      </c>
      <c r="Q83" s="39"/>
      <c r="R83" s="39"/>
    </row>
    <row r="84" ht="19.5" customHeight="1">
      <c r="A84" s="34"/>
      <c r="B84" s="35"/>
      <c r="C84" s="35"/>
      <c r="D84" s="35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7" t="str">
        <f t="shared" si="1"/>
        <v>-</v>
      </c>
      <c r="Q84" s="35"/>
      <c r="R84" s="35"/>
    </row>
    <row r="85" ht="19.5" customHeight="1">
      <c r="A85" s="38"/>
      <c r="B85" s="39"/>
      <c r="C85" s="39"/>
      <c r="D85" s="39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1" t="str">
        <f t="shared" si="1"/>
        <v>-</v>
      </c>
      <c r="Q85" s="39"/>
      <c r="R85" s="39"/>
    </row>
    <row r="86" ht="19.5" customHeight="1">
      <c r="A86" s="34"/>
      <c r="B86" s="35"/>
      <c r="C86" s="35"/>
      <c r="D86" s="35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7" t="str">
        <f t="shared" si="1"/>
        <v>-</v>
      </c>
      <c r="Q86" s="35"/>
      <c r="R86" s="35"/>
    </row>
    <row r="87" ht="19.5" customHeight="1">
      <c r="A87" s="38"/>
      <c r="B87" s="39"/>
      <c r="C87" s="39"/>
      <c r="D87" s="39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1" t="str">
        <f t="shared" si="1"/>
        <v>-</v>
      </c>
      <c r="Q87" s="39"/>
      <c r="R87" s="39"/>
    </row>
    <row r="88" ht="19.5" customHeight="1">
      <c r="A88" s="34"/>
      <c r="B88" s="35"/>
      <c r="C88" s="35"/>
      <c r="D88" s="35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7" t="str">
        <f t="shared" si="1"/>
        <v>-</v>
      </c>
      <c r="Q88" s="35"/>
      <c r="R88" s="35"/>
    </row>
    <row r="89" ht="19.5" customHeight="1">
      <c r="A89" s="38"/>
      <c r="B89" s="39"/>
      <c r="C89" s="39"/>
      <c r="D89" s="39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1" t="str">
        <f t="shared" si="1"/>
        <v>-</v>
      </c>
      <c r="Q89" s="39"/>
      <c r="R89" s="39"/>
    </row>
    <row r="90" ht="19.5" customHeight="1">
      <c r="A90" s="34"/>
      <c r="B90" s="35"/>
      <c r="C90" s="35"/>
      <c r="D90" s="35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7" t="str">
        <f t="shared" si="1"/>
        <v>-</v>
      </c>
      <c r="Q90" s="35"/>
      <c r="R90" s="35"/>
    </row>
    <row r="91" ht="19.5" customHeight="1">
      <c r="A91" s="38"/>
      <c r="B91" s="39"/>
      <c r="C91" s="39"/>
      <c r="D91" s="39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1" t="str">
        <f t="shared" si="1"/>
        <v>-</v>
      </c>
      <c r="Q91" s="39"/>
      <c r="R91" s="39"/>
    </row>
    <row r="92" ht="19.5" customHeight="1">
      <c r="A92" s="34"/>
      <c r="B92" s="35"/>
      <c r="C92" s="35"/>
      <c r="D92" s="35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7" t="str">
        <f t="shared" si="1"/>
        <v>-</v>
      </c>
      <c r="Q92" s="35"/>
      <c r="R92" s="35"/>
    </row>
    <row r="93" ht="19.5" customHeight="1">
      <c r="A93" s="38"/>
      <c r="B93" s="39"/>
      <c r="C93" s="39"/>
      <c r="D93" s="39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1" t="str">
        <f t="shared" si="1"/>
        <v>-</v>
      </c>
      <c r="Q93" s="39"/>
      <c r="R93" s="39"/>
    </row>
    <row r="94" ht="19.5" customHeight="1">
      <c r="A94" s="34"/>
      <c r="B94" s="35"/>
      <c r="C94" s="35"/>
      <c r="D94" s="35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7" t="str">
        <f t="shared" si="1"/>
        <v>-</v>
      </c>
      <c r="Q94" s="35"/>
      <c r="R94" s="35"/>
    </row>
    <row r="95" ht="19.5" customHeight="1">
      <c r="A95" s="38"/>
      <c r="B95" s="39"/>
      <c r="C95" s="39"/>
      <c r="D95" s="39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1" t="str">
        <f t="shared" si="1"/>
        <v>-</v>
      </c>
      <c r="Q95" s="39"/>
      <c r="R95" s="39"/>
    </row>
    <row r="96" ht="19.5" customHeight="1">
      <c r="A96" s="34"/>
      <c r="B96" s="35"/>
      <c r="C96" s="35"/>
      <c r="D96" s="3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7" t="str">
        <f t="shared" si="1"/>
        <v>-</v>
      </c>
      <c r="Q96" s="35"/>
      <c r="R96" s="35"/>
    </row>
    <row r="97" ht="19.5" customHeight="1">
      <c r="A97" s="38"/>
      <c r="B97" s="39"/>
      <c r="C97" s="39"/>
      <c r="D97" s="39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1" t="str">
        <f t="shared" si="1"/>
        <v>-</v>
      </c>
      <c r="Q97" s="39"/>
      <c r="R97" s="39"/>
    </row>
    <row r="98" ht="19.5" customHeight="1">
      <c r="A98" s="34"/>
      <c r="B98" s="35"/>
      <c r="C98" s="35"/>
      <c r="D98" s="3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7" t="str">
        <f t="shared" si="1"/>
        <v>-</v>
      </c>
      <c r="Q98" s="35"/>
      <c r="R98" s="35"/>
    </row>
    <row r="99" ht="19.5" customHeight="1">
      <c r="A99" s="38"/>
      <c r="B99" s="39"/>
      <c r="C99" s="39"/>
      <c r="D99" s="39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1" t="str">
        <f t="shared" si="1"/>
        <v>-</v>
      </c>
      <c r="Q99" s="39"/>
      <c r="R99" s="39"/>
    </row>
    <row r="100" ht="19.5" customHeight="1">
      <c r="A100" s="34"/>
      <c r="B100" s="35"/>
      <c r="C100" s="35"/>
      <c r="D100" s="3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7" t="str">
        <f t="shared" si="1"/>
        <v>-</v>
      </c>
      <c r="Q100" s="35"/>
      <c r="R100" s="35"/>
    </row>
    <row r="101" ht="19.5" customHeight="1">
      <c r="A101" s="38"/>
      <c r="B101" s="39"/>
      <c r="C101" s="39"/>
      <c r="D101" s="39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1" t="str">
        <f t="shared" si="1"/>
        <v>-</v>
      </c>
      <c r="Q101" s="39"/>
      <c r="R101" s="39"/>
    </row>
    <row r="102" ht="19.5" customHeight="1">
      <c r="A102" s="34"/>
      <c r="B102" s="35"/>
      <c r="C102" s="35"/>
      <c r="D102" s="3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7" t="str">
        <f t="shared" si="1"/>
        <v>-</v>
      </c>
      <c r="Q102" s="35"/>
      <c r="R102" s="35"/>
    </row>
    <row r="103" ht="19.5" customHeight="1">
      <c r="A103" s="38"/>
      <c r="B103" s="39"/>
      <c r="C103" s="39"/>
      <c r="D103" s="39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1" t="str">
        <f t="shared" si="1"/>
        <v>-</v>
      </c>
      <c r="Q103" s="39"/>
      <c r="R103" s="39"/>
    </row>
    <row r="104" ht="19.5" customHeight="1">
      <c r="A104" s="34"/>
      <c r="B104" s="35"/>
      <c r="C104" s="35"/>
      <c r="D104" s="3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7" t="str">
        <f t="shared" si="1"/>
        <v>-</v>
      </c>
      <c r="Q104" s="35"/>
      <c r="R104" s="35"/>
    </row>
    <row r="105" ht="19.5" customHeight="1">
      <c r="A105" s="38"/>
      <c r="B105" s="39"/>
      <c r="C105" s="39"/>
      <c r="D105" s="39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1" t="str">
        <f t="shared" si="1"/>
        <v>-</v>
      </c>
      <c r="Q105" s="39"/>
      <c r="R105" s="39"/>
    </row>
    <row r="106" ht="19.5" customHeight="1">
      <c r="A106" s="34"/>
      <c r="B106" s="35"/>
      <c r="C106" s="35"/>
      <c r="D106" s="3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7" t="str">
        <f t="shared" si="1"/>
        <v>-</v>
      </c>
      <c r="Q106" s="35"/>
      <c r="R106" s="35"/>
    </row>
    <row r="107" ht="19.5" customHeight="1">
      <c r="A107" s="38"/>
      <c r="B107" s="39"/>
      <c r="C107" s="39"/>
      <c r="D107" s="39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1" t="str">
        <f t="shared" si="1"/>
        <v>-</v>
      </c>
      <c r="Q107" s="39"/>
      <c r="R107" s="39"/>
    </row>
    <row r="108" ht="19.5" customHeight="1">
      <c r="A108" s="34"/>
      <c r="B108" s="35"/>
      <c r="C108" s="35"/>
      <c r="D108" s="3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7" t="str">
        <f t="shared" si="1"/>
        <v>-</v>
      </c>
      <c r="Q108" s="35"/>
      <c r="R108" s="35"/>
    </row>
    <row r="109" ht="19.5" customHeight="1">
      <c r="A109" s="38"/>
      <c r="B109" s="39"/>
      <c r="C109" s="39"/>
      <c r="D109" s="39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1" t="str">
        <f t="shared" si="1"/>
        <v>-</v>
      </c>
      <c r="Q109" s="39"/>
      <c r="R109" s="39"/>
    </row>
    <row r="110" ht="19.5" customHeight="1">
      <c r="A110" s="34"/>
      <c r="B110" s="35"/>
      <c r="C110" s="35"/>
      <c r="D110" s="3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7" t="str">
        <f t="shared" si="1"/>
        <v>-</v>
      </c>
      <c r="Q110" s="35"/>
      <c r="R110" s="35"/>
    </row>
    <row r="111" ht="19.5" customHeight="1">
      <c r="A111" s="38"/>
      <c r="B111" s="39"/>
      <c r="C111" s="39"/>
      <c r="D111" s="39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1" t="str">
        <f t="shared" si="1"/>
        <v>-</v>
      </c>
      <c r="Q111" s="39"/>
      <c r="R111" s="39"/>
    </row>
    <row r="112" ht="19.5" customHeight="1">
      <c r="A112" s="34"/>
      <c r="B112" s="35"/>
      <c r="C112" s="35"/>
      <c r="D112" s="3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7" t="str">
        <f t="shared" si="1"/>
        <v>-</v>
      </c>
      <c r="Q112" s="35"/>
      <c r="R112" s="35"/>
    </row>
    <row r="113" ht="19.5" customHeight="1">
      <c r="A113" s="38"/>
      <c r="B113" s="39"/>
      <c r="C113" s="39"/>
      <c r="D113" s="39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1" t="str">
        <f t="shared" si="1"/>
        <v>-</v>
      </c>
      <c r="Q113" s="39"/>
      <c r="R113" s="39"/>
    </row>
    <row r="114" ht="19.5" customHeight="1">
      <c r="A114" s="34"/>
      <c r="B114" s="35"/>
      <c r="C114" s="35"/>
      <c r="D114" s="3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7" t="str">
        <f t="shared" si="1"/>
        <v>-</v>
      </c>
      <c r="Q114" s="35"/>
      <c r="R114" s="35"/>
    </row>
    <row r="115" ht="19.5" customHeight="1">
      <c r="A115" s="38"/>
      <c r="B115" s="39"/>
      <c r="C115" s="39"/>
      <c r="D115" s="39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1" t="str">
        <f t="shared" si="1"/>
        <v>-</v>
      </c>
      <c r="Q115" s="39"/>
      <c r="R115" s="39"/>
    </row>
    <row r="116" ht="19.5" customHeight="1">
      <c r="A116" s="34"/>
      <c r="B116" s="35"/>
      <c r="C116" s="35"/>
      <c r="D116" s="3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7" t="str">
        <f t="shared" si="1"/>
        <v>-</v>
      </c>
      <c r="Q116" s="35"/>
      <c r="R116" s="35"/>
    </row>
    <row r="117" ht="19.5" customHeight="1">
      <c r="A117" s="38"/>
      <c r="B117" s="39"/>
      <c r="C117" s="39"/>
      <c r="D117" s="39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1" t="str">
        <f t="shared" si="1"/>
        <v>-</v>
      </c>
      <c r="Q117" s="39"/>
      <c r="R117" s="39"/>
    </row>
    <row r="118" ht="19.5" customHeight="1">
      <c r="A118" s="34"/>
      <c r="B118" s="35"/>
      <c r="C118" s="35"/>
      <c r="D118" s="3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7" t="str">
        <f t="shared" si="1"/>
        <v>-</v>
      </c>
      <c r="Q118" s="35"/>
      <c r="R118" s="35"/>
    </row>
    <row r="119" ht="19.5" customHeight="1">
      <c r="A119" s="38"/>
      <c r="B119" s="39"/>
      <c r="C119" s="39"/>
      <c r="D119" s="39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1" t="str">
        <f t="shared" si="1"/>
        <v>-</v>
      </c>
      <c r="Q119" s="39"/>
      <c r="R119" s="39"/>
    </row>
    <row r="120" ht="19.5" customHeight="1">
      <c r="A120" s="34"/>
      <c r="B120" s="35"/>
      <c r="C120" s="35"/>
      <c r="D120" s="3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7" t="str">
        <f t="shared" si="1"/>
        <v>-</v>
      </c>
      <c r="Q120" s="35"/>
      <c r="R120" s="35"/>
    </row>
    <row r="121" ht="19.5" customHeight="1">
      <c r="A121" s="38"/>
      <c r="B121" s="39"/>
      <c r="C121" s="39"/>
      <c r="D121" s="39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1" t="str">
        <f t="shared" si="1"/>
        <v>-</v>
      </c>
      <c r="Q121" s="39"/>
      <c r="R121" s="39"/>
    </row>
    <row r="122" ht="19.5" customHeight="1">
      <c r="A122" s="34"/>
      <c r="B122" s="35"/>
      <c r="C122" s="35"/>
      <c r="D122" s="3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7" t="str">
        <f t="shared" si="1"/>
        <v>-</v>
      </c>
      <c r="Q122" s="35"/>
      <c r="R122" s="35"/>
    </row>
    <row r="123" ht="19.5" customHeight="1">
      <c r="A123" s="38"/>
      <c r="B123" s="39"/>
      <c r="C123" s="39"/>
      <c r="D123" s="39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1" t="str">
        <f t="shared" si="1"/>
        <v>-</v>
      </c>
      <c r="Q123" s="39"/>
      <c r="R123" s="39"/>
    </row>
    <row r="124" ht="19.5" customHeight="1">
      <c r="A124" s="34"/>
      <c r="B124" s="35"/>
      <c r="C124" s="35"/>
      <c r="D124" s="3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7" t="str">
        <f t="shared" si="1"/>
        <v>-</v>
      </c>
      <c r="Q124" s="35"/>
      <c r="R124" s="35"/>
    </row>
    <row r="125" ht="19.5" customHeight="1">
      <c r="A125" s="38"/>
      <c r="B125" s="39"/>
      <c r="C125" s="39"/>
      <c r="D125" s="39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1" t="str">
        <f t="shared" si="1"/>
        <v>-</v>
      </c>
      <c r="Q125" s="39"/>
      <c r="R125" s="39"/>
    </row>
    <row r="126" ht="19.5" customHeight="1">
      <c r="A126" s="34"/>
      <c r="B126" s="35"/>
      <c r="C126" s="35"/>
      <c r="D126" s="3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7" t="str">
        <f t="shared" si="1"/>
        <v>-</v>
      </c>
      <c r="Q126" s="35"/>
      <c r="R126" s="35"/>
    </row>
    <row r="127" ht="19.5" customHeight="1">
      <c r="A127" s="38"/>
      <c r="B127" s="39"/>
      <c r="C127" s="39"/>
      <c r="D127" s="39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1" t="str">
        <f t="shared" si="1"/>
        <v>-</v>
      </c>
      <c r="Q127" s="39"/>
      <c r="R127" s="39"/>
    </row>
    <row r="128" ht="19.5" customHeight="1">
      <c r="A128" s="34"/>
      <c r="B128" s="35"/>
      <c r="C128" s="35"/>
      <c r="D128" s="3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7" t="str">
        <f t="shared" si="1"/>
        <v>-</v>
      </c>
      <c r="Q128" s="35"/>
      <c r="R128" s="35"/>
    </row>
    <row r="129" ht="19.5" customHeight="1">
      <c r="A129" s="38"/>
      <c r="B129" s="39"/>
      <c r="C129" s="39"/>
      <c r="D129" s="39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1" t="str">
        <f t="shared" si="1"/>
        <v>-</v>
      </c>
      <c r="Q129" s="39"/>
      <c r="R129" s="39"/>
    </row>
    <row r="130" ht="19.5" customHeight="1">
      <c r="A130" s="34"/>
      <c r="B130" s="35"/>
      <c r="C130" s="35"/>
      <c r="D130" s="3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7" t="str">
        <f t="shared" si="1"/>
        <v>-</v>
      </c>
      <c r="Q130" s="35"/>
      <c r="R130" s="35"/>
    </row>
    <row r="131" ht="19.5" customHeight="1">
      <c r="A131" s="38"/>
      <c r="B131" s="39"/>
      <c r="C131" s="39"/>
      <c r="D131" s="39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1" t="str">
        <f t="shared" si="1"/>
        <v>-</v>
      </c>
      <c r="Q131" s="39"/>
      <c r="R131" s="39"/>
    </row>
    <row r="132" ht="19.5" customHeight="1">
      <c r="A132" s="34"/>
      <c r="B132" s="35"/>
      <c r="C132" s="35"/>
      <c r="D132" s="3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7" t="str">
        <f t="shared" si="1"/>
        <v>-</v>
      </c>
      <c r="Q132" s="35"/>
      <c r="R132" s="35"/>
    </row>
    <row r="133" ht="19.5" customHeight="1">
      <c r="A133" s="38"/>
      <c r="B133" s="39"/>
      <c r="C133" s="39"/>
      <c r="D133" s="39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1" t="str">
        <f t="shared" si="1"/>
        <v>-</v>
      </c>
      <c r="Q133" s="39"/>
      <c r="R133" s="39"/>
    </row>
    <row r="134" ht="19.5" customHeight="1">
      <c r="A134" s="34"/>
      <c r="B134" s="35"/>
      <c r="C134" s="35"/>
      <c r="D134" s="3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7" t="str">
        <f t="shared" si="1"/>
        <v>-</v>
      </c>
      <c r="Q134" s="35"/>
      <c r="R134" s="35"/>
    </row>
    <row r="135" ht="19.5" customHeight="1">
      <c r="A135" s="38"/>
      <c r="B135" s="39"/>
      <c r="C135" s="39"/>
      <c r="D135" s="39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1" t="str">
        <f t="shared" si="1"/>
        <v>-</v>
      </c>
      <c r="Q135" s="39"/>
      <c r="R135" s="39"/>
    </row>
    <row r="136" ht="19.5" customHeight="1">
      <c r="A136" s="34"/>
      <c r="B136" s="35"/>
      <c r="C136" s="35"/>
      <c r="D136" s="3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7" t="str">
        <f t="shared" si="1"/>
        <v>-</v>
      </c>
      <c r="Q136" s="35"/>
      <c r="R136" s="35"/>
    </row>
    <row r="137" ht="19.5" customHeight="1">
      <c r="A137" s="38"/>
      <c r="B137" s="39"/>
      <c r="C137" s="39"/>
      <c r="D137" s="39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1" t="str">
        <f t="shared" si="1"/>
        <v>-</v>
      </c>
      <c r="Q137" s="39"/>
      <c r="R137" s="39"/>
    </row>
    <row r="138" ht="19.5" customHeight="1">
      <c r="A138" s="34"/>
      <c r="B138" s="35"/>
      <c r="C138" s="35"/>
      <c r="D138" s="3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7" t="str">
        <f t="shared" si="1"/>
        <v>-</v>
      </c>
      <c r="Q138" s="35"/>
      <c r="R138" s="35"/>
    </row>
    <row r="139" ht="19.5" customHeight="1">
      <c r="A139" s="38"/>
      <c r="B139" s="39"/>
      <c r="C139" s="39"/>
      <c r="D139" s="39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1" t="str">
        <f t="shared" si="1"/>
        <v>-</v>
      </c>
      <c r="Q139" s="39"/>
      <c r="R139" s="39"/>
    </row>
    <row r="140" ht="19.5" customHeight="1">
      <c r="A140" s="34"/>
      <c r="B140" s="35"/>
      <c r="C140" s="35"/>
      <c r="D140" s="3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7" t="str">
        <f t="shared" si="1"/>
        <v>-</v>
      </c>
      <c r="Q140" s="35"/>
      <c r="R140" s="35"/>
    </row>
    <row r="141" ht="19.5" customHeight="1">
      <c r="A141" s="38"/>
      <c r="B141" s="39"/>
      <c r="C141" s="39"/>
      <c r="D141" s="39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1" t="str">
        <f t="shared" si="1"/>
        <v>-</v>
      </c>
      <c r="Q141" s="39"/>
      <c r="R141" s="39"/>
    </row>
    <row r="142" ht="19.5" customHeight="1">
      <c r="A142" s="34"/>
      <c r="B142" s="35"/>
      <c r="C142" s="35"/>
      <c r="D142" s="3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7" t="str">
        <f t="shared" si="1"/>
        <v>-</v>
      </c>
      <c r="Q142" s="35"/>
      <c r="R142" s="35"/>
    </row>
    <row r="143" ht="19.5" customHeight="1">
      <c r="A143" s="38"/>
      <c r="B143" s="39"/>
      <c r="C143" s="39"/>
      <c r="D143" s="39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1" t="str">
        <f t="shared" si="1"/>
        <v>-</v>
      </c>
      <c r="Q143" s="39"/>
      <c r="R143" s="39"/>
    </row>
    <row r="144" ht="19.5" customHeight="1">
      <c r="A144" s="34"/>
      <c r="B144" s="35"/>
      <c r="C144" s="35"/>
      <c r="D144" s="3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7" t="str">
        <f t="shared" si="1"/>
        <v>-</v>
      </c>
      <c r="Q144" s="35"/>
      <c r="R144" s="35"/>
    </row>
    <row r="145" ht="19.5" customHeight="1">
      <c r="A145" s="38"/>
      <c r="B145" s="39"/>
      <c r="C145" s="39"/>
      <c r="D145" s="39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1" t="str">
        <f t="shared" si="1"/>
        <v>-</v>
      </c>
      <c r="Q145" s="39"/>
      <c r="R145" s="39"/>
    </row>
    <row r="146" ht="19.5" customHeight="1">
      <c r="A146" s="34"/>
      <c r="B146" s="35"/>
      <c r="C146" s="35"/>
      <c r="D146" s="3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7" t="str">
        <f t="shared" si="1"/>
        <v>-</v>
      </c>
      <c r="Q146" s="35"/>
      <c r="R146" s="35"/>
    </row>
    <row r="147" ht="19.5" customHeight="1">
      <c r="A147" s="38"/>
      <c r="B147" s="39"/>
      <c r="C147" s="39"/>
      <c r="D147" s="39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1" t="str">
        <f t="shared" si="1"/>
        <v>-</v>
      </c>
      <c r="Q147" s="39"/>
      <c r="R147" s="39"/>
    </row>
    <row r="148" ht="19.5" customHeight="1">
      <c r="A148" s="34"/>
      <c r="B148" s="35"/>
      <c r="C148" s="35"/>
      <c r="D148" s="3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7" t="str">
        <f t="shared" si="1"/>
        <v>-</v>
      </c>
      <c r="Q148" s="35"/>
      <c r="R148" s="35"/>
    </row>
    <row r="149" ht="19.5" customHeight="1">
      <c r="A149" s="38"/>
      <c r="B149" s="39"/>
      <c r="C149" s="39"/>
      <c r="D149" s="39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1" t="str">
        <f t="shared" si="1"/>
        <v>-</v>
      </c>
      <c r="Q149" s="39"/>
      <c r="R149" s="39"/>
    </row>
    <row r="150" ht="19.5" customHeight="1">
      <c r="A150" s="34"/>
      <c r="B150" s="35"/>
      <c r="C150" s="35"/>
      <c r="D150" s="3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7" t="str">
        <f t="shared" si="1"/>
        <v>-</v>
      </c>
      <c r="Q150" s="35"/>
      <c r="R150" s="35"/>
    </row>
    <row r="151" ht="19.5" customHeight="1">
      <c r="A151" s="38"/>
      <c r="B151" s="39"/>
      <c r="C151" s="39"/>
      <c r="D151" s="39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1" t="str">
        <f t="shared" si="1"/>
        <v>-</v>
      </c>
      <c r="Q151" s="39"/>
      <c r="R151" s="39"/>
    </row>
    <row r="152" ht="19.5" customHeight="1">
      <c r="A152" s="34"/>
      <c r="B152" s="35"/>
      <c r="C152" s="35"/>
      <c r="D152" s="3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7" t="str">
        <f t="shared" si="1"/>
        <v>-</v>
      </c>
      <c r="Q152" s="35"/>
      <c r="R152" s="35"/>
    </row>
    <row r="153" ht="19.5" customHeight="1">
      <c r="A153" s="38"/>
      <c r="B153" s="39"/>
      <c r="C153" s="39"/>
      <c r="D153" s="39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1" t="str">
        <f t="shared" si="1"/>
        <v>-</v>
      </c>
      <c r="Q153" s="39"/>
      <c r="R153" s="39"/>
    </row>
    <row r="154" ht="19.5" customHeight="1">
      <c r="A154" s="34"/>
      <c r="B154" s="35"/>
      <c r="C154" s="35"/>
      <c r="D154" s="3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7" t="str">
        <f t="shared" si="1"/>
        <v>-</v>
      </c>
      <c r="Q154" s="35"/>
      <c r="R154" s="35"/>
    </row>
    <row r="155" ht="19.5" customHeight="1">
      <c r="A155" s="38"/>
      <c r="B155" s="39"/>
      <c r="C155" s="39"/>
      <c r="D155" s="39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1" t="str">
        <f t="shared" si="1"/>
        <v>-</v>
      </c>
      <c r="Q155" s="39"/>
      <c r="R155" s="39"/>
    </row>
    <row r="156" ht="19.5" customHeight="1">
      <c r="A156" s="34"/>
      <c r="B156" s="35"/>
      <c r="C156" s="35"/>
      <c r="D156" s="3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7" t="str">
        <f t="shared" si="1"/>
        <v>-</v>
      </c>
      <c r="Q156" s="35"/>
      <c r="R156" s="35"/>
    </row>
    <row r="157" ht="19.5" customHeight="1">
      <c r="A157" s="38"/>
      <c r="B157" s="39"/>
      <c r="C157" s="39"/>
      <c r="D157" s="39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1" t="str">
        <f t="shared" si="1"/>
        <v>-</v>
      </c>
      <c r="Q157" s="39"/>
      <c r="R157" s="39"/>
    </row>
    <row r="158" ht="19.5" customHeight="1">
      <c r="A158" s="34"/>
      <c r="B158" s="35"/>
      <c r="C158" s="35"/>
      <c r="D158" s="3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7" t="str">
        <f t="shared" si="1"/>
        <v>-</v>
      </c>
      <c r="Q158" s="35"/>
      <c r="R158" s="35"/>
    </row>
    <row r="159" ht="19.5" customHeight="1">
      <c r="A159" s="38"/>
      <c r="B159" s="39"/>
      <c r="C159" s="39"/>
      <c r="D159" s="39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1" t="str">
        <f t="shared" si="1"/>
        <v>-</v>
      </c>
      <c r="Q159" s="39"/>
      <c r="R159" s="39"/>
    </row>
    <row r="160" ht="19.5" customHeight="1">
      <c r="A160" s="34"/>
      <c r="B160" s="35"/>
      <c r="C160" s="35"/>
      <c r="D160" s="3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7" t="str">
        <f t="shared" si="1"/>
        <v>-</v>
      </c>
      <c r="Q160" s="35"/>
      <c r="R160" s="35"/>
    </row>
    <row r="161" ht="19.5" customHeight="1">
      <c r="A161" s="38"/>
      <c r="B161" s="39"/>
      <c r="C161" s="39"/>
      <c r="D161" s="39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1" t="str">
        <f t="shared" si="1"/>
        <v>-</v>
      </c>
      <c r="Q161" s="39"/>
      <c r="R161" s="39"/>
    </row>
    <row r="162" ht="19.5" customHeight="1">
      <c r="A162" s="34"/>
      <c r="B162" s="35"/>
      <c r="C162" s="35"/>
      <c r="D162" s="3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7" t="str">
        <f t="shared" si="1"/>
        <v>-</v>
      </c>
      <c r="Q162" s="35"/>
      <c r="R162" s="35"/>
    </row>
    <row r="163" ht="19.5" customHeight="1">
      <c r="A163" s="38"/>
      <c r="B163" s="39"/>
      <c r="C163" s="39"/>
      <c r="D163" s="39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1" t="str">
        <f t="shared" si="1"/>
        <v>-</v>
      </c>
      <c r="Q163" s="39"/>
      <c r="R163" s="39"/>
    </row>
    <row r="164" ht="19.5" customHeight="1">
      <c r="A164" s="34"/>
      <c r="B164" s="35"/>
      <c r="C164" s="35"/>
      <c r="D164" s="3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7" t="str">
        <f t="shared" si="1"/>
        <v>-</v>
      </c>
      <c r="Q164" s="35"/>
      <c r="R164" s="35"/>
    </row>
    <row r="165" ht="19.5" customHeight="1">
      <c r="A165" s="38"/>
      <c r="B165" s="39"/>
      <c r="C165" s="39"/>
      <c r="D165" s="39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1" t="str">
        <f t="shared" si="1"/>
        <v>-</v>
      </c>
      <c r="Q165" s="39"/>
      <c r="R165" s="39"/>
    </row>
    <row r="166" ht="19.5" customHeight="1">
      <c r="A166" s="34"/>
      <c r="B166" s="35"/>
      <c r="C166" s="35"/>
      <c r="D166" s="3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7" t="str">
        <f t="shared" si="1"/>
        <v>-</v>
      </c>
      <c r="Q166" s="35"/>
      <c r="R166" s="35"/>
    </row>
    <row r="167" ht="19.5" customHeight="1">
      <c r="A167" s="38"/>
      <c r="B167" s="39"/>
      <c r="C167" s="39"/>
      <c r="D167" s="39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1" t="str">
        <f t="shared" si="1"/>
        <v>-</v>
      </c>
      <c r="Q167" s="39"/>
      <c r="R167" s="39"/>
    </row>
    <row r="168" ht="19.5" customHeight="1">
      <c r="A168" s="34"/>
      <c r="B168" s="35"/>
      <c r="C168" s="35"/>
      <c r="D168" s="3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7" t="str">
        <f t="shared" si="1"/>
        <v>-</v>
      </c>
      <c r="Q168" s="35"/>
      <c r="R168" s="35"/>
    </row>
    <row r="169" ht="19.5" customHeight="1">
      <c r="A169" s="38"/>
      <c r="B169" s="39"/>
      <c r="C169" s="39"/>
      <c r="D169" s="39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1" t="str">
        <f t="shared" si="1"/>
        <v>-</v>
      </c>
      <c r="Q169" s="39"/>
      <c r="R169" s="39"/>
    </row>
    <row r="170" ht="19.5" customHeight="1">
      <c r="A170" s="34"/>
      <c r="B170" s="35"/>
      <c r="C170" s="35"/>
      <c r="D170" s="3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7" t="str">
        <f t="shared" si="1"/>
        <v>-</v>
      </c>
      <c r="Q170" s="35"/>
      <c r="R170" s="35"/>
    </row>
    <row r="171" ht="19.5" customHeight="1">
      <c r="A171" s="38"/>
      <c r="B171" s="39"/>
      <c r="C171" s="39"/>
      <c r="D171" s="39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1" t="str">
        <f t="shared" si="1"/>
        <v>-</v>
      </c>
      <c r="Q171" s="39"/>
      <c r="R171" s="39"/>
    </row>
    <row r="172" ht="19.5" customHeight="1">
      <c r="A172" s="34"/>
      <c r="B172" s="35"/>
      <c r="C172" s="35"/>
      <c r="D172" s="3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7" t="str">
        <f t="shared" si="1"/>
        <v>-</v>
      </c>
      <c r="Q172" s="35"/>
      <c r="R172" s="35"/>
    </row>
    <row r="173" ht="19.5" customHeight="1">
      <c r="A173" s="38"/>
      <c r="B173" s="39"/>
      <c r="C173" s="39"/>
      <c r="D173" s="39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1" t="str">
        <f t="shared" si="1"/>
        <v>-</v>
      </c>
      <c r="Q173" s="39"/>
      <c r="R173" s="39"/>
    </row>
    <row r="174" ht="19.5" customHeight="1">
      <c r="A174" s="34"/>
      <c r="B174" s="35"/>
      <c r="C174" s="35"/>
      <c r="D174" s="3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7" t="str">
        <f t="shared" si="1"/>
        <v>-</v>
      </c>
      <c r="Q174" s="35"/>
      <c r="R174" s="35"/>
    </row>
    <row r="175" ht="19.5" customHeight="1">
      <c r="A175" s="38"/>
      <c r="B175" s="39"/>
      <c r="C175" s="39"/>
      <c r="D175" s="39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1" t="str">
        <f t="shared" si="1"/>
        <v>-</v>
      </c>
      <c r="Q175" s="39"/>
      <c r="R175" s="39"/>
    </row>
    <row r="176" ht="19.5" customHeight="1">
      <c r="A176" s="34"/>
      <c r="B176" s="35"/>
      <c r="C176" s="35"/>
      <c r="D176" s="3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7" t="str">
        <f t="shared" si="1"/>
        <v>-</v>
      </c>
      <c r="Q176" s="35"/>
      <c r="R176" s="35"/>
    </row>
    <row r="177" ht="19.5" customHeight="1">
      <c r="A177" s="38"/>
      <c r="B177" s="39"/>
      <c r="C177" s="39"/>
      <c r="D177" s="39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1" t="str">
        <f t="shared" si="1"/>
        <v>-</v>
      </c>
      <c r="Q177" s="39"/>
      <c r="R177" s="39"/>
    </row>
    <row r="178" ht="19.5" customHeight="1">
      <c r="A178" s="34"/>
      <c r="B178" s="35"/>
      <c r="C178" s="35"/>
      <c r="D178" s="3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7" t="str">
        <f t="shared" si="1"/>
        <v>-</v>
      </c>
      <c r="Q178" s="35"/>
      <c r="R178" s="35"/>
    </row>
    <row r="179" ht="19.5" customHeight="1">
      <c r="A179" s="38"/>
      <c r="B179" s="39"/>
      <c r="C179" s="39"/>
      <c r="D179" s="39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1" t="str">
        <f t="shared" si="1"/>
        <v>-</v>
      </c>
      <c r="Q179" s="39"/>
      <c r="R179" s="39"/>
    </row>
    <row r="180" ht="19.5" customHeight="1">
      <c r="A180" s="34"/>
      <c r="B180" s="35"/>
      <c r="C180" s="35"/>
      <c r="D180" s="3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7" t="str">
        <f t="shared" si="1"/>
        <v>-</v>
      </c>
      <c r="Q180" s="35"/>
      <c r="R180" s="35"/>
    </row>
    <row r="181" ht="19.5" customHeight="1">
      <c r="A181" s="38"/>
      <c r="B181" s="39"/>
      <c r="C181" s="39"/>
      <c r="D181" s="39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1" t="str">
        <f t="shared" si="1"/>
        <v>-</v>
      </c>
      <c r="Q181" s="39"/>
      <c r="R181" s="39"/>
    </row>
    <row r="182" ht="19.5" customHeight="1">
      <c r="A182" s="34"/>
      <c r="B182" s="35"/>
      <c r="C182" s="35"/>
      <c r="D182" s="3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7" t="str">
        <f t="shared" si="1"/>
        <v>-</v>
      </c>
      <c r="Q182" s="35"/>
      <c r="R182" s="35"/>
    </row>
    <row r="183" ht="19.5" customHeight="1">
      <c r="A183" s="38"/>
      <c r="B183" s="39"/>
      <c r="C183" s="39"/>
      <c r="D183" s="39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1" t="str">
        <f t="shared" si="1"/>
        <v>-</v>
      </c>
      <c r="Q183" s="39"/>
      <c r="R183" s="39"/>
    </row>
    <row r="184" ht="19.5" customHeight="1">
      <c r="A184" s="34"/>
      <c r="B184" s="35"/>
      <c r="C184" s="35"/>
      <c r="D184" s="3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7" t="str">
        <f t="shared" si="1"/>
        <v>-</v>
      </c>
      <c r="Q184" s="35"/>
      <c r="R184" s="35"/>
    </row>
    <row r="185" ht="19.5" customHeight="1">
      <c r="A185" s="38"/>
      <c r="B185" s="39"/>
      <c r="C185" s="39"/>
      <c r="D185" s="39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1" t="str">
        <f t="shared" si="1"/>
        <v>-</v>
      </c>
      <c r="Q185" s="39"/>
      <c r="R185" s="39"/>
    </row>
    <row r="186" ht="19.5" customHeight="1">
      <c r="A186" s="34"/>
      <c r="B186" s="35"/>
      <c r="C186" s="35"/>
      <c r="D186" s="3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7" t="str">
        <f t="shared" si="1"/>
        <v>-</v>
      </c>
      <c r="Q186" s="35"/>
      <c r="R186" s="35"/>
    </row>
    <row r="187" ht="19.5" customHeight="1">
      <c r="A187" s="38"/>
      <c r="B187" s="39"/>
      <c r="C187" s="39"/>
      <c r="D187" s="39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1" t="str">
        <f t="shared" si="1"/>
        <v>-</v>
      </c>
      <c r="Q187" s="39"/>
      <c r="R187" s="39"/>
    </row>
    <row r="188" ht="19.5" customHeight="1">
      <c r="A188" s="34"/>
      <c r="B188" s="35"/>
      <c r="C188" s="35"/>
      <c r="D188" s="3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7" t="str">
        <f t="shared" si="1"/>
        <v>-</v>
      </c>
      <c r="Q188" s="35"/>
      <c r="R188" s="35"/>
    </row>
    <row r="189" ht="19.5" customHeight="1">
      <c r="A189" s="38"/>
      <c r="B189" s="39"/>
      <c r="C189" s="39"/>
      <c r="D189" s="39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1" t="str">
        <f t="shared" si="1"/>
        <v>-</v>
      </c>
      <c r="Q189" s="39"/>
      <c r="R189" s="39"/>
    </row>
    <row r="190" ht="19.5" customHeight="1">
      <c r="A190" s="34"/>
      <c r="B190" s="35"/>
      <c r="C190" s="35"/>
      <c r="D190" s="3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7" t="str">
        <f t="shared" si="1"/>
        <v>-</v>
      </c>
      <c r="Q190" s="35"/>
      <c r="R190" s="35"/>
    </row>
    <row r="191" ht="19.5" customHeight="1">
      <c r="A191" s="38"/>
      <c r="B191" s="39"/>
      <c r="C191" s="39"/>
      <c r="D191" s="39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1" t="str">
        <f t="shared" si="1"/>
        <v>-</v>
      </c>
      <c r="Q191" s="39"/>
      <c r="R191" s="39"/>
    </row>
    <row r="192" ht="19.5" customHeight="1">
      <c r="A192" s="34"/>
      <c r="B192" s="35"/>
      <c r="C192" s="35"/>
      <c r="D192" s="3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7" t="str">
        <f t="shared" si="1"/>
        <v>-</v>
      </c>
      <c r="Q192" s="35"/>
      <c r="R192" s="35"/>
    </row>
    <row r="193" ht="19.5" customHeight="1">
      <c r="A193" s="38"/>
      <c r="B193" s="39"/>
      <c r="C193" s="39"/>
      <c r="D193" s="39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1" t="str">
        <f t="shared" si="1"/>
        <v>-</v>
      </c>
      <c r="Q193" s="39"/>
      <c r="R193" s="39"/>
    </row>
    <row r="194" ht="19.5" customHeight="1">
      <c r="A194" s="34"/>
      <c r="B194" s="35"/>
      <c r="C194" s="35"/>
      <c r="D194" s="3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7" t="str">
        <f t="shared" si="1"/>
        <v>-</v>
      </c>
      <c r="Q194" s="35"/>
      <c r="R194" s="35"/>
    </row>
    <row r="195" ht="19.5" customHeight="1">
      <c r="A195" s="38"/>
      <c r="B195" s="39"/>
      <c r="C195" s="39"/>
      <c r="D195" s="39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1" t="str">
        <f t="shared" si="1"/>
        <v>-</v>
      </c>
      <c r="Q195" s="39"/>
      <c r="R195" s="39"/>
    </row>
    <row r="196" ht="19.5" customHeight="1">
      <c r="A196" s="34"/>
      <c r="B196" s="35"/>
      <c r="C196" s="35"/>
      <c r="D196" s="3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7" t="str">
        <f t="shared" si="1"/>
        <v>-</v>
      </c>
      <c r="Q196" s="35"/>
      <c r="R196" s="35"/>
    </row>
    <row r="197" ht="19.5" customHeight="1">
      <c r="A197" s="38"/>
      <c r="B197" s="39"/>
      <c r="C197" s="39"/>
      <c r="D197" s="39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1" t="str">
        <f t="shared" si="1"/>
        <v>-</v>
      </c>
      <c r="Q197" s="39"/>
      <c r="R197" s="39"/>
    </row>
    <row r="198" ht="19.5" customHeight="1">
      <c r="A198" s="34"/>
      <c r="B198" s="35"/>
      <c r="C198" s="35"/>
      <c r="D198" s="3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7" t="str">
        <f t="shared" si="1"/>
        <v>-</v>
      </c>
      <c r="Q198" s="35"/>
      <c r="R198" s="35"/>
    </row>
    <row r="199" ht="19.5" customHeight="1">
      <c r="A199" s="38"/>
      <c r="B199" s="39"/>
      <c r="C199" s="39"/>
      <c r="D199" s="39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1" t="str">
        <f t="shared" si="1"/>
        <v>-</v>
      </c>
      <c r="Q199" s="39"/>
      <c r="R199" s="39"/>
    </row>
    <row r="200" ht="19.5" customHeight="1">
      <c r="A200" s="34"/>
      <c r="B200" s="35"/>
      <c r="C200" s="35"/>
      <c r="D200" s="3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7" t="str">
        <f t="shared" si="1"/>
        <v>-</v>
      </c>
      <c r="Q200" s="35"/>
      <c r="R200" s="35"/>
    </row>
    <row r="201" ht="19.5" customHeight="1">
      <c r="A201" s="38"/>
      <c r="B201" s="39"/>
      <c r="C201" s="39"/>
      <c r="D201" s="39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1" t="str">
        <f t="shared" si="1"/>
        <v>-</v>
      </c>
      <c r="Q201" s="39"/>
      <c r="R201" s="39"/>
    </row>
    <row r="202" ht="19.5" customHeight="1">
      <c r="A202" s="34"/>
      <c r="B202" s="35"/>
      <c r="C202" s="35"/>
      <c r="D202" s="3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7" t="str">
        <f t="shared" si="1"/>
        <v>-</v>
      </c>
      <c r="Q202" s="35"/>
      <c r="R202" s="35"/>
    </row>
    <row r="203" ht="19.5" customHeight="1">
      <c r="A203" s="38"/>
      <c r="B203" s="39"/>
      <c r="C203" s="39"/>
      <c r="D203" s="39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1" t="str">
        <f t="shared" si="1"/>
        <v>-</v>
      </c>
      <c r="Q203" s="39"/>
      <c r="R203" s="39"/>
    </row>
    <row r="204" ht="19.5" customHeight="1">
      <c r="A204" s="34"/>
      <c r="B204" s="35"/>
      <c r="C204" s="35"/>
      <c r="D204" s="3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7" t="str">
        <f t="shared" si="1"/>
        <v>-</v>
      </c>
      <c r="Q204" s="35"/>
      <c r="R204" s="35"/>
    </row>
    <row r="205" ht="19.5" customHeight="1">
      <c r="A205" s="38"/>
      <c r="B205" s="39"/>
      <c r="C205" s="39"/>
      <c r="D205" s="39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1" t="str">
        <f t="shared" si="1"/>
        <v>-</v>
      </c>
      <c r="Q205" s="39"/>
      <c r="R205" s="39"/>
    </row>
    <row r="206" ht="19.5" customHeight="1">
      <c r="A206" s="34"/>
      <c r="B206" s="35"/>
      <c r="C206" s="35"/>
      <c r="D206" s="3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7" t="str">
        <f t="shared" si="1"/>
        <v>-</v>
      </c>
      <c r="Q206" s="35"/>
      <c r="R206" s="35"/>
    </row>
    <row r="207" ht="19.5" customHeight="1">
      <c r="A207" s="38"/>
      <c r="B207" s="39"/>
      <c r="C207" s="39"/>
      <c r="D207" s="39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1" t="str">
        <f t="shared" si="1"/>
        <v>-</v>
      </c>
      <c r="Q207" s="39"/>
      <c r="R207" s="39"/>
    </row>
    <row r="208" ht="19.5" customHeight="1">
      <c r="A208" s="34"/>
      <c r="B208" s="35"/>
      <c r="C208" s="35"/>
      <c r="D208" s="3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7" t="str">
        <f t="shared" si="1"/>
        <v>-</v>
      </c>
      <c r="Q208" s="35"/>
      <c r="R208" s="35"/>
    </row>
    <row r="209" ht="19.5" customHeight="1">
      <c r="A209" s="38"/>
      <c r="B209" s="39"/>
      <c r="C209" s="39"/>
      <c r="D209" s="39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1" t="str">
        <f t="shared" si="1"/>
        <v>-</v>
      </c>
      <c r="Q209" s="39"/>
      <c r="R209" s="39"/>
    </row>
    <row r="210" ht="19.5" customHeight="1">
      <c r="A210" s="34"/>
      <c r="B210" s="35"/>
      <c r="C210" s="35"/>
      <c r="D210" s="3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7" t="str">
        <f t="shared" si="1"/>
        <v>-</v>
      </c>
      <c r="Q210" s="35"/>
      <c r="R210" s="35"/>
    </row>
    <row r="211" ht="19.5" customHeight="1">
      <c r="A211" s="38"/>
      <c r="B211" s="39"/>
      <c r="C211" s="39"/>
      <c r="D211" s="39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1" t="str">
        <f t="shared" si="1"/>
        <v>-</v>
      </c>
      <c r="Q211" s="39"/>
      <c r="R211" s="39"/>
    </row>
    <row r="212" ht="19.5" customHeight="1">
      <c r="A212" s="34"/>
      <c r="B212" s="35"/>
      <c r="C212" s="35"/>
      <c r="D212" s="3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7" t="str">
        <f t="shared" si="1"/>
        <v>-</v>
      </c>
      <c r="Q212" s="35"/>
      <c r="R212" s="35"/>
    </row>
    <row r="213" ht="19.5" customHeight="1">
      <c r="A213" s="38"/>
      <c r="B213" s="39"/>
      <c r="C213" s="39"/>
      <c r="D213" s="39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1" t="str">
        <f t="shared" si="1"/>
        <v>-</v>
      </c>
      <c r="Q213" s="39"/>
      <c r="R213" s="39"/>
    </row>
    <row r="214" ht="19.5" customHeight="1">
      <c r="A214" s="34"/>
      <c r="B214" s="35"/>
      <c r="C214" s="35"/>
      <c r="D214" s="3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7" t="str">
        <f t="shared" si="1"/>
        <v>-</v>
      </c>
      <c r="Q214" s="35"/>
      <c r="R214" s="35"/>
    </row>
    <row r="215" ht="19.5" customHeight="1">
      <c r="A215" s="38"/>
      <c r="B215" s="39"/>
      <c r="C215" s="39"/>
      <c r="D215" s="39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1" t="str">
        <f t="shared" si="1"/>
        <v>-</v>
      </c>
      <c r="Q215" s="39"/>
      <c r="R215" s="39"/>
    </row>
    <row r="216" ht="19.5" customHeight="1">
      <c r="A216" s="34"/>
      <c r="B216" s="35"/>
      <c r="C216" s="35"/>
      <c r="D216" s="3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7" t="str">
        <f t="shared" si="1"/>
        <v>-</v>
      </c>
      <c r="Q216" s="35"/>
      <c r="R216" s="35"/>
    </row>
    <row r="217" ht="19.5" customHeight="1">
      <c r="A217" s="38"/>
      <c r="B217" s="39"/>
      <c r="C217" s="39"/>
      <c r="D217" s="39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1" t="str">
        <f t="shared" si="1"/>
        <v>-</v>
      </c>
      <c r="Q217" s="39"/>
      <c r="R217" s="39"/>
    </row>
    <row r="218" ht="19.5" customHeight="1">
      <c r="A218" s="34"/>
      <c r="B218" s="35"/>
      <c r="C218" s="35"/>
      <c r="D218" s="3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7" t="str">
        <f t="shared" si="1"/>
        <v>-</v>
      </c>
      <c r="Q218" s="35"/>
      <c r="R218" s="35"/>
    </row>
    <row r="219" ht="19.5" customHeight="1">
      <c r="A219" s="38"/>
      <c r="B219" s="39"/>
      <c r="C219" s="39"/>
      <c r="D219" s="39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1" t="str">
        <f t="shared" si="1"/>
        <v>-</v>
      </c>
      <c r="Q219" s="39"/>
      <c r="R219" s="39"/>
    </row>
    <row r="220" ht="19.5" customHeight="1">
      <c r="A220" s="34"/>
      <c r="B220" s="35"/>
      <c r="C220" s="35"/>
      <c r="D220" s="3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7" t="str">
        <f t="shared" si="1"/>
        <v>-</v>
      </c>
      <c r="Q220" s="35"/>
      <c r="R220" s="35"/>
    </row>
    <row r="221" ht="19.5" customHeight="1">
      <c r="A221" s="38"/>
      <c r="B221" s="39"/>
      <c r="C221" s="39"/>
      <c r="D221" s="39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1" t="str">
        <f t="shared" si="1"/>
        <v>-</v>
      </c>
      <c r="Q221" s="39"/>
      <c r="R221" s="39"/>
    </row>
    <row r="222" ht="19.5" customHeight="1">
      <c r="A222" s="34"/>
      <c r="B222" s="35"/>
      <c r="C222" s="35"/>
      <c r="D222" s="3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7" t="str">
        <f t="shared" si="1"/>
        <v>-</v>
      </c>
      <c r="Q222" s="35"/>
      <c r="R222" s="35"/>
    </row>
    <row r="223" ht="19.5" customHeight="1">
      <c r="A223" s="38"/>
      <c r="B223" s="39"/>
      <c r="C223" s="39"/>
      <c r="D223" s="39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1" t="str">
        <f t="shared" si="1"/>
        <v>-</v>
      </c>
      <c r="Q223" s="39"/>
      <c r="R223" s="39"/>
    </row>
    <row r="224" ht="19.5" customHeight="1">
      <c r="A224" s="34"/>
      <c r="B224" s="35"/>
      <c r="C224" s="35"/>
      <c r="D224" s="3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7" t="str">
        <f t="shared" si="1"/>
        <v>-</v>
      </c>
      <c r="Q224" s="35"/>
      <c r="R224" s="35"/>
    </row>
    <row r="225" ht="19.5" customHeight="1">
      <c r="A225" s="38"/>
      <c r="B225" s="39"/>
      <c r="C225" s="39"/>
      <c r="D225" s="39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1" t="str">
        <f t="shared" si="1"/>
        <v>-</v>
      </c>
      <c r="Q225" s="39"/>
      <c r="R225" s="39"/>
    </row>
    <row r="226" ht="19.5" customHeight="1">
      <c r="A226" s="34"/>
      <c r="B226" s="35"/>
      <c r="C226" s="35"/>
      <c r="D226" s="3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7" t="str">
        <f t="shared" si="1"/>
        <v>-</v>
      </c>
      <c r="Q226" s="35"/>
      <c r="R226" s="35"/>
    </row>
    <row r="227" ht="19.5" customHeight="1">
      <c r="A227" s="38"/>
      <c r="B227" s="39"/>
      <c r="C227" s="39"/>
      <c r="D227" s="39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1" t="str">
        <f t="shared" si="1"/>
        <v>-</v>
      </c>
      <c r="Q227" s="39"/>
      <c r="R227" s="39"/>
    </row>
    <row r="228" ht="19.5" customHeight="1">
      <c r="A228" s="34"/>
      <c r="B228" s="35"/>
      <c r="C228" s="35"/>
      <c r="D228" s="3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7" t="str">
        <f t="shared" si="1"/>
        <v>-</v>
      </c>
      <c r="Q228" s="35"/>
      <c r="R228" s="35"/>
    </row>
    <row r="229" ht="19.5" customHeight="1">
      <c r="A229" s="38"/>
      <c r="B229" s="39"/>
      <c r="C229" s="39"/>
      <c r="D229" s="39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1" t="str">
        <f t="shared" si="1"/>
        <v>-</v>
      </c>
      <c r="Q229" s="39"/>
      <c r="R229" s="39"/>
    </row>
    <row r="230" ht="19.5" customHeight="1">
      <c r="A230" s="34"/>
      <c r="B230" s="35"/>
      <c r="C230" s="35"/>
      <c r="D230" s="3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7" t="str">
        <f t="shared" si="1"/>
        <v>-</v>
      </c>
      <c r="Q230" s="35"/>
      <c r="R230" s="35"/>
    </row>
    <row r="231" ht="19.5" customHeight="1">
      <c r="A231" s="38"/>
      <c r="B231" s="39"/>
      <c r="C231" s="39"/>
      <c r="D231" s="39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1" t="str">
        <f t="shared" si="1"/>
        <v>-</v>
      </c>
      <c r="Q231" s="39"/>
      <c r="R231" s="39"/>
    </row>
    <row r="232" ht="19.5" customHeight="1">
      <c r="A232" s="34"/>
      <c r="B232" s="35"/>
      <c r="C232" s="35"/>
      <c r="D232" s="3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7" t="str">
        <f t="shared" si="1"/>
        <v>-</v>
      </c>
      <c r="Q232" s="35"/>
      <c r="R232" s="35"/>
    </row>
    <row r="233" ht="19.5" customHeight="1">
      <c r="A233" s="38"/>
      <c r="B233" s="39"/>
      <c r="C233" s="39"/>
      <c r="D233" s="39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1" t="str">
        <f t="shared" si="1"/>
        <v>-</v>
      </c>
      <c r="Q233" s="39"/>
      <c r="R233" s="39"/>
    </row>
    <row r="234" ht="19.5" customHeight="1">
      <c r="A234" s="34"/>
      <c r="B234" s="35"/>
      <c r="C234" s="35"/>
      <c r="D234" s="3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7" t="str">
        <f t="shared" si="1"/>
        <v>-</v>
      </c>
      <c r="Q234" s="35"/>
      <c r="R234" s="35"/>
    </row>
    <row r="235" ht="19.5" customHeight="1">
      <c r="A235" s="38"/>
      <c r="B235" s="39"/>
      <c r="C235" s="39"/>
      <c r="D235" s="39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1" t="str">
        <f t="shared" si="1"/>
        <v>-</v>
      </c>
      <c r="Q235" s="39"/>
      <c r="R235" s="39"/>
    </row>
    <row r="236" ht="19.5" customHeight="1">
      <c r="A236" s="34"/>
      <c r="B236" s="35"/>
      <c r="C236" s="35"/>
      <c r="D236" s="3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7" t="str">
        <f t="shared" si="1"/>
        <v>-</v>
      </c>
      <c r="Q236" s="35"/>
      <c r="R236" s="35"/>
    </row>
    <row r="237" ht="19.5" customHeight="1">
      <c r="A237" s="38"/>
      <c r="B237" s="39"/>
      <c r="C237" s="39"/>
      <c r="D237" s="39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1" t="str">
        <f t="shared" si="1"/>
        <v>-</v>
      </c>
      <c r="Q237" s="39"/>
      <c r="R237" s="39"/>
    </row>
    <row r="238" ht="19.5" customHeight="1">
      <c r="A238" s="34"/>
      <c r="B238" s="35"/>
      <c r="C238" s="35"/>
      <c r="D238" s="3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7" t="str">
        <f t="shared" si="1"/>
        <v>-</v>
      </c>
      <c r="Q238" s="35"/>
      <c r="R238" s="35"/>
    </row>
    <row r="239" ht="19.5" customHeight="1">
      <c r="A239" s="38"/>
      <c r="B239" s="39"/>
      <c r="C239" s="39"/>
      <c r="D239" s="39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1" t="str">
        <f t="shared" si="1"/>
        <v>-</v>
      </c>
      <c r="Q239" s="39"/>
      <c r="R239" s="39"/>
    </row>
    <row r="240" ht="19.5" customHeight="1">
      <c r="A240" s="34"/>
      <c r="B240" s="35"/>
      <c r="C240" s="35"/>
      <c r="D240" s="3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7" t="str">
        <f t="shared" si="1"/>
        <v>-</v>
      </c>
      <c r="Q240" s="35"/>
      <c r="R240" s="35"/>
    </row>
    <row r="241" ht="19.5" customHeight="1">
      <c r="A241" s="38"/>
      <c r="B241" s="39"/>
      <c r="C241" s="39"/>
      <c r="D241" s="39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1" t="str">
        <f t="shared" si="1"/>
        <v>-</v>
      </c>
      <c r="Q241" s="39"/>
      <c r="R241" s="39"/>
    </row>
    <row r="242" ht="19.5" customHeight="1">
      <c r="A242" s="34"/>
      <c r="B242" s="35"/>
      <c r="C242" s="35"/>
      <c r="D242" s="3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7" t="str">
        <f t="shared" si="1"/>
        <v>-</v>
      </c>
      <c r="Q242" s="35"/>
      <c r="R242" s="35"/>
    </row>
    <row r="243" ht="19.5" customHeight="1">
      <c r="A243" s="38"/>
      <c r="B243" s="39"/>
      <c r="C243" s="39"/>
      <c r="D243" s="39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1" t="str">
        <f t="shared" si="1"/>
        <v>-</v>
      </c>
      <c r="Q243" s="39"/>
      <c r="R243" s="39"/>
    </row>
    <row r="244" ht="19.5" customHeight="1">
      <c r="A244" s="34"/>
      <c r="B244" s="35"/>
      <c r="C244" s="35"/>
      <c r="D244" s="3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7" t="str">
        <f t="shared" si="1"/>
        <v>-</v>
      </c>
      <c r="Q244" s="35"/>
      <c r="R244" s="35"/>
    </row>
    <row r="245" ht="19.5" customHeight="1">
      <c r="A245" s="38"/>
      <c r="B245" s="39"/>
      <c r="C245" s="39"/>
      <c r="D245" s="39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1" t="str">
        <f t="shared" si="1"/>
        <v>-</v>
      </c>
      <c r="Q245" s="39"/>
      <c r="R245" s="39"/>
    </row>
    <row r="246" ht="19.5" customHeight="1">
      <c r="A246" s="34"/>
      <c r="B246" s="35"/>
      <c r="C246" s="35"/>
      <c r="D246" s="3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7" t="str">
        <f t="shared" si="1"/>
        <v>-</v>
      </c>
      <c r="Q246" s="35"/>
      <c r="R246" s="35"/>
    </row>
    <row r="247" ht="19.5" customHeight="1">
      <c r="A247" s="38"/>
      <c r="B247" s="39"/>
      <c r="C247" s="39"/>
      <c r="D247" s="39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1" t="str">
        <f t="shared" si="1"/>
        <v>-</v>
      </c>
      <c r="Q247" s="39"/>
      <c r="R247" s="39"/>
    </row>
    <row r="248" ht="19.5" customHeight="1">
      <c r="A248" s="34"/>
      <c r="B248" s="35"/>
      <c r="C248" s="35"/>
      <c r="D248" s="3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7" t="str">
        <f t="shared" si="1"/>
        <v>-</v>
      </c>
      <c r="Q248" s="35"/>
      <c r="R248" s="35"/>
    </row>
    <row r="249" ht="19.5" customHeight="1">
      <c r="A249" s="38"/>
      <c r="B249" s="39"/>
      <c r="C249" s="39"/>
      <c r="D249" s="39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1" t="str">
        <f t="shared" si="1"/>
        <v>-</v>
      </c>
      <c r="Q249" s="39"/>
      <c r="R249" s="39"/>
    </row>
    <row r="250" ht="19.5" customHeight="1">
      <c r="A250" s="34"/>
      <c r="B250" s="35"/>
      <c r="C250" s="35"/>
      <c r="D250" s="3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7" t="str">
        <f t="shared" si="1"/>
        <v>-</v>
      </c>
      <c r="Q250" s="35"/>
      <c r="R250" s="35"/>
    </row>
    <row r="251" ht="19.5" customHeight="1">
      <c r="A251" s="38"/>
      <c r="B251" s="39"/>
      <c r="C251" s="39"/>
      <c r="D251" s="39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1" t="str">
        <f t="shared" si="1"/>
        <v>-</v>
      </c>
      <c r="Q251" s="39"/>
      <c r="R251" s="39"/>
    </row>
    <row r="252" ht="19.5" customHeight="1">
      <c r="A252" s="34"/>
      <c r="B252" s="35"/>
      <c r="C252" s="35"/>
      <c r="D252" s="3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7" t="str">
        <f t="shared" si="1"/>
        <v>-</v>
      </c>
      <c r="Q252" s="35"/>
      <c r="R252" s="35"/>
    </row>
    <row r="253" ht="19.5" customHeight="1">
      <c r="A253" s="38"/>
      <c r="B253" s="39"/>
      <c r="C253" s="39"/>
      <c r="D253" s="39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1" t="str">
        <f t="shared" si="1"/>
        <v>-</v>
      </c>
      <c r="Q253" s="39"/>
      <c r="R253" s="39"/>
    </row>
    <row r="254" ht="19.5" customHeight="1">
      <c r="A254" s="34"/>
      <c r="B254" s="35"/>
      <c r="C254" s="35"/>
      <c r="D254" s="3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7" t="str">
        <f t="shared" si="1"/>
        <v>-</v>
      </c>
      <c r="Q254" s="35"/>
      <c r="R254" s="35"/>
    </row>
    <row r="255" ht="19.5" customHeight="1">
      <c r="A255" s="38"/>
      <c r="B255" s="39"/>
      <c r="C255" s="39"/>
      <c r="D255" s="39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1" t="str">
        <f t="shared" si="1"/>
        <v>-</v>
      </c>
      <c r="Q255" s="39"/>
      <c r="R255" s="39"/>
    </row>
    <row r="256" ht="19.5" customHeight="1">
      <c r="A256" s="34"/>
      <c r="B256" s="35"/>
      <c r="C256" s="35"/>
      <c r="D256" s="3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7" t="str">
        <f t="shared" si="1"/>
        <v>-</v>
      </c>
      <c r="Q256" s="35"/>
      <c r="R256" s="35"/>
    </row>
    <row r="257" ht="19.5" customHeight="1">
      <c r="A257" s="38"/>
      <c r="B257" s="39"/>
      <c r="C257" s="39"/>
      <c r="D257" s="39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1" t="str">
        <f t="shared" si="1"/>
        <v>-</v>
      </c>
      <c r="Q257" s="39"/>
      <c r="R257" s="39"/>
    </row>
    <row r="258" ht="19.5" customHeight="1">
      <c r="A258" s="34"/>
      <c r="B258" s="35"/>
      <c r="C258" s="35"/>
      <c r="D258" s="3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7" t="str">
        <f t="shared" si="1"/>
        <v>-</v>
      </c>
      <c r="Q258" s="35"/>
      <c r="R258" s="35"/>
    </row>
    <row r="259" ht="19.5" customHeight="1">
      <c r="A259" s="38"/>
      <c r="B259" s="39"/>
      <c r="C259" s="39"/>
      <c r="D259" s="39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1" t="str">
        <f t="shared" si="1"/>
        <v>-</v>
      </c>
      <c r="Q259" s="39"/>
      <c r="R259" s="39"/>
    </row>
    <row r="260" ht="19.5" customHeight="1">
      <c r="A260" s="34"/>
      <c r="B260" s="35"/>
      <c r="C260" s="35"/>
      <c r="D260" s="3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7" t="str">
        <f t="shared" si="1"/>
        <v>-</v>
      </c>
      <c r="Q260" s="35"/>
      <c r="R260" s="35"/>
    </row>
    <row r="261" ht="19.5" customHeight="1">
      <c r="A261" s="38"/>
      <c r="B261" s="39"/>
      <c r="C261" s="39"/>
      <c r="D261" s="39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1" t="str">
        <f t="shared" si="1"/>
        <v>-</v>
      </c>
      <c r="Q261" s="39"/>
      <c r="R261" s="39"/>
    </row>
    <row r="262" ht="19.5" customHeight="1">
      <c r="A262" s="34"/>
      <c r="B262" s="35"/>
      <c r="C262" s="35"/>
      <c r="D262" s="3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7" t="str">
        <f t="shared" si="1"/>
        <v>-</v>
      </c>
      <c r="Q262" s="35"/>
      <c r="R262" s="35"/>
    </row>
    <row r="263" ht="19.5" customHeight="1">
      <c r="A263" s="38"/>
      <c r="B263" s="39"/>
      <c r="C263" s="39"/>
      <c r="D263" s="39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1" t="str">
        <f t="shared" si="1"/>
        <v>-</v>
      </c>
      <c r="Q263" s="39"/>
      <c r="R263" s="39"/>
    </row>
    <row r="264" ht="19.5" customHeight="1">
      <c r="A264" s="34"/>
      <c r="B264" s="35"/>
      <c r="C264" s="35"/>
      <c r="D264" s="3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7" t="str">
        <f t="shared" si="1"/>
        <v>-</v>
      </c>
      <c r="Q264" s="35"/>
      <c r="R264" s="35"/>
    </row>
    <row r="265" ht="19.5" customHeight="1">
      <c r="A265" s="38"/>
      <c r="B265" s="39"/>
      <c r="C265" s="39"/>
      <c r="D265" s="39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1" t="str">
        <f t="shared" si="1"/>
        <v>-</v>
      </c>
      <c r="Q265" s="39"/>
      <c r="R265" s="39"/>
    </row>
    <row r="266" ht="19.5" customHeight="1">
      <c r="A266" s="34"/>
      <c r="B266" s="35"/>
      <c r="C266" s="35"/>
      <c r="D266" s="3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7" t="str">
        <f t="shared" si="1"/>
        <v>-</v>
      </c>
      <c r="Q266" s="35"/>
      <c r="R266" s="35"/>
    </row>
    <row r="267" ht="19.5" customHeight="1">
      <c r="A267" s="38"/>
      <c r="B267" s="39"/>
      <c r="C267" s="39"/>
      <c r="D267" s="39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1" t="str">
        <f t="shared" si="1"/>
        <v>-</v>
      </c>
      <c r="Q267" s="39"/>
      <c r="R267" s="39"/>
    </row>
    <row r="268" ht="19.5" customHeight="1">
      <c r="A268" s="34"/>
      <c r="B268" s="35"/>
      <c r="C268" s="35"/>
      <c r="D268" s="3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7" t="str">
        <f t="shared" si="1"/>
        <v>-</v>
      </c>
      <c r="Q268" s="35"/>
      <c r="R268" s="35"/>
    </row>
    <row r="269" ht="19.5" customHeight="1">
      <c r="A269" s="38"/>
      <c r="B269" s="39"/>
      <c r="C269" s="39"/>
      <c r="D269" s="39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1" t="str">
        <f t="shared" si="1"/>
        <v>-</v>
      </c>
      <c r="Q269" s="39"/>
      <c r="R269" s="39"/>
    </row>
    <row r="270" ht="19.5" customHeight="1">
      <c r="A270" s="34"/>
      <c r="B270" s="35"/>
      <c r="C270" s="35"/>
      <c r="D270" s="3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7" t="str">
        <f t="shared" si="1"/>
        <v>-</v>
      </c>
      <c r="Q270" s="35"/>
      <c r="R270" s="35"/>
    </row>
    <row r="271" ht="19.5" customHeight="1">
      <c r="A271" s="38"/>
      <c r="B271" s="39"/>
      <c r="C271" s="39"/>
      <c r="D271" s="39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1" t="str">
        <f t="shared" si="1"/>
        <v>-</v>
      </c>
      <c r="Q271" s="39"/>
      <c r="R271" s="39"/>
    </row>
    <row r="272" ht="19.5" customHeight="1">
      <c r="A272" s="34"/>
      <c r="B272" s="35"/>
      <c r="C272" s="35"/>
      <c r="D272" s="3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7" t="str">
        <f t="shared" si="1"/>
        <v>-</v>
      </c>
      <c r="Q272" s="35"/>
      <c r="R272" s="35"/>
    </row>
    <row r="273" ht="19.5" customHeight="1">
      <c r="A273" s="38"/>
      <c r="B273" s="39"/>
      <c r="C273" s="39"/>
      <c r="D273" s="39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1" t="str">
        <f t="shared" si="1"/>
        <v>-</v>
      </c>
      <c r="Q273" s="39"/>
      <c r="R273" s="39"/>
    </row>
    <row r="274" ht="19.5" customHeight="1">
      <c r="A274" s="34"/>
      <c r="B274" s="35"/>
      <c r="C274" s="35"/>
      <c r="D274" s="3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7" t="str">
        <f t="shared" si="1"/>
        <v>-</v>
      </c>
      <c r="Q274" s="35"/>
      <c r="R274" s="35"/>
    </row>
    <row r="275" ht="19.5" customHeight="1">
      <c r="A275" s="38"/>
      <c r="B275" s="39"/>
      <c r="C275" s="39"/>
      <c r="D275" s="39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1" t="str">
        <f t="shared" si="1"/>
        <v>-</v>
      </c>
      <c r="Q275" s="39"/>
      <c r="R275" s="39"/>
    </row>
    <row r="276" ht="19.5" customHeight="1">
      <c r="A276" s="34"/>
      <c r="B276" s="35"/>
      <c r="C276" s="35"/>
      <c r="D276" s="3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7" t="str">
        <f t="shared" si="1"/>
        <v>-</v>
      </c>
      <c r="Q276" s="35"/>
      <c r="R276" s="35"/>
    </row>
    <row r="277" ht="19.5" customHeight="1">
      <c r="A277" s="38"/>
      <c r="B277" s="39"/>
      <c r="C277" s="39"/>
      <c r="D277" s="39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1" t="str">
        <f t="shared" si="1"/>
        <v>-</v>
      </c>
      <c r="Q277" s="39"/>
      <c r="R277" s="39"/>
    </row>
    <row r="278" ht="19.5" customHeight="1">
      <c r="A278" s="34"/>
      <c r="B278" s="35"/>
      <c r="C278" s="35"/>
      <c r="D278" s="3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7" t="str">
        <f t="shared" si="1"/>
        <v>-</v>
      </c>
      <c r="Q278" s="35"/>
      <c r="R278" s="35"/>
    </row>
    <row r="279" ht="19.5" customHeight="1">
      <c r="A279" s="38"/>
      <c r="B279" s="39"/>
      <c r="C279" s="39"/>
      <c r="D279" s="39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1" t="str">
        <f t="shared" si="1"/>
        <v>-</v>
      </c>
      <c r="Q279" s="39"/>
      <c r="R279" s="39"/>
    </row>
    <row r="280" ht="19.5" customHeight="1">
      <c r="A280" s="34"/>
      <c r="B280" s="35"/>
      <c r="C280" s="35"/>
      <c r="D280" s="3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7" t="str">
        <f t="shared" si="1"/>
        <v>-</v>
      </c>
      <c r="Q280" s="35"/>
      <c r="R280" s="35"/>
    </row>
    <row r="281" ht="19.5" customHeight="1">
      <c r="A281" s="38"/>
      <c r="B281" s="39"/>
      <c r="C281" s="39"/>
      <c r="D281" s="39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1" t="str">
        <f t="shared" si="1"/>
        <v>-</v>
      </c>
      <c r="Q281" s="39"/>
      <c r="R281" s="39"/>
    </row>
    <row r="282" ht="19.5" customHeight="1">
      <c r="A282" s="34"/>
      <c r="B282" s="35"/>
      <c r="C282" s="35"/>
      <c r="D282" s="3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7" t="str">
        <f t="shared" si="1"/>
        <v>-</v>
      </c>
      <c r="Q282" s="35"/>
      <c r="R282" s="35"/>
    </row>
    <row r="283" ht="19.5" customHeight="1">
      <c r="A283" s="38"/>
      <c r="B283" s="39"/>
      <c r="C283" s="39"/>
      <c r="D283" s="39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1" t="str">
        <f t="shared" si="1"/>
        <v>-</v>
      </c>
      <c r="Q283" s="39"/>
      <c r="R283" s="39"/>
    </row>
    <row r="284" ht="19.5" customHeight="1">
      <c r="A284" s="34"/>
      <c r="B284" s="35"/>
      <c r="C284" s="35"/>
      <c r="D284" s="3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7" t="str">
        <f t="shared" si="1"/>
        <v>-</v>
      </c>
      <c r="Q284" s="35"/>
      <c r="R284" s="35"/>
    </row>
    <row r="285" ht="19.5" customHeight="1">
      <c r="A285" s="38"/>
      <c r="B285" s="39"/>
      <c r="C285" s="39"/>
      <c r="D285" s="39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1" t="str">
        <f t="shared" si="1"/>
        <v>-</v>
      </c>
      <c r="Q285" s="39"/>
      <c r="R285" s="39"/>
    </row>
    <row r="286" ht="19.5" customHeight="1">
      <c r="A286" s="34"/>
      <c r="B286" s="35"/>
      <c r="C286" s="35"/>
      <c r="D286" s="3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7" t="str">
        <f t="shared" si="1"/>
        <v>-</v>
      </c>
      <c r="Q286" s="35"/>
      <c r="R286" s="35"/>
    </row>
    <row r="287" ht="19.5" customHeight="1">
      <c r="A287" s="38"/>
      <c r="B287" s="39"/>
      <c r="C287" s="39"/>
      <c r="D287" s="39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1" t="str">
        <f t="shared" si="1"/>
        <v>-</v>
      </c>
      <c r="Q287" s="39"/>
      <c r="R287" s="39"/>
    </row>
    <row r="288" ht="19.5" customHeight="1">
      <c r="A288" s="34"/>
      <c r="B288" s="35"/>
      <c r="C288" s="35"/>
      <c r="D288" s="3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7" t="str">
        <f t="shared" si="1"/>
        <v>-</v>
      </c>
      <c r="Q288" s="35"/>
      <c r="R288" s="35"/>
    </row>
    <row r="289" ht="19.5" customHeight="1">
      <c r="A289" s="38"/>
      <c r="B289" s="39"/>
      <c r="C289" s="39"/>
      <c r="D289" s="39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1" t="str">
        <f t="shared" si="1"/>
        <v>-</v>
      </c>
      <c r="Q289" s="39"/>
      <c r="R289" s="39"/>
    </row>
    <row r="290" ht="19.5" customHeight="1">
      <c r="A290" s="34"/>
      <c r="B290" s="35"/>
      <c r="C290" s="35"/>
      <c r="D290" s="3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7" t="str">
        <f t="shared" si="1"/>
        <v>-</v>
      </c>
      <c r="Q290" s="35"/>
      <c r="R290" s="35"/>
    </row>
    <row r="291" ht="19.5" customHeight="1">
      <c r="A291" s="38"/>
      <c r="B291" s="39"/>
      <c r="C291" s="39"/>
      <c r="D291" s="39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1" t="str">
        <f t="shared" si="1"/>
        <v>-</v>
      </c>
      <c r="Q291" s="39"/>
      <c r="R291" s="39"/>
    </row>
    <row r="292" ht="19.5" customHeight="1">
      <c r="A292" s="34"/>
      <c r="B292" s="35"/>
      <c r="C292" s="35"/>
      <c r="D292" s="3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7" t="str">
        <f t="shared" si="1"/>
        <v>-</v>
      </c>
      <c r="Q292" s="35"/>
      <c r="R292" s="35"/>
    </row>
    <row r="293" ht="19.5" customHeight="1">
      <c r="A293" s="38"/>
      <c r="B293" s="39"/>
      <c r="C293" s="39"/>
      <c r="D293" s="39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1" t="str">
        <f t="shared" si="1"/>
        <v>-</v>
      </c>
      <c r="Q293" s="39"/>
      <c r="R293" s="39"/>
    </row>
    <row r="294" ht="19.5" customHeight="1">
      <c r="A294" s="34"/>
      <c r="B294" s="35"/>
      <c r="C294" s="35"/>
      <c r="D294" s="3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7" t="str">
        <f t="shared" si="1"/>
        <v>-</v>
      </c>
      <c r="Q294" s="35"/>
      <c r="R294" s="35"/>
    </row>
    <row r="295" ht="19.5" customHeight="1">
      <c r="A295" s="38"/>
      <c r="B295" s="39"/>
      <c r="C295" s="39"/>
      <c r="D295" s="39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1" t="str">
        <f t="shared" si="1"/>
        <v>-</v>
      </c>
      <c r="Q295" s="39"/>
      <c r="R295" s="39"/>
    </row>
    <row r="296" ht="19.5" customHeight="1">
      <c r="A296" s="34"/>
      <c r="B296" s="35"/>
      <c r="C296" s="35"/>
      <c r="D296" s="3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7" t="str">
        <f t="shared" si="1"/>
        <v>-</v>
      </c>
      <c r="Q296" s="35"/>
      <c r="R296" s="35"/>
    </row>
    <row r="297" ht="19.5" customHeight="1">
      <c r="A297" s="38"/>
      <c r="B297" s="39"/>
      <c r="C297" s="39"/>
      <c r="D297" s="39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1" t="str">
        <f t="shared" si="1"/>
        <v>-</v>
      </c>
      <c r="Q297" s="39"/>
      <c r="R297" s="39"/>
    </row>
    <row r="298" ht="19.5" customHeight="1">
      <c r="A298" s="34"/>
      <c r="B298" s="35"/>
      <c r="C298" s="35"/>
      <c r="D298" s="3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7" t="str">
        <f t="shared" si="1"/>
        <v>-</v>
      </c>
      <c r="Q298" s="35"/>
      <c r="R298" s="35"/>
    </row>
    <row r="299" ht="19.5" customHeight="1">
      <c r="A299" s="38"/>
      <c r="B299" s="39"/>
      <c r="C299" s="39"/>
      <c r="D299" s="39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1" t="str">
        <f t="shared" si="1"/>
        <v>-</v>
      </c>
      <c r="Q299" s="39"/>
      <c r="R299" s="39"/>
    </row>
    <row r="300" ht="19.5" customHeight="1">
      <c r="A300" s="34"/>
      <c r="B300" s="35"/>
      <c r="C300" s="35"/>
      <c r="D300" s="3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7" t="str">
        <f t="shared" si="1"/>
        <v>-</v>
      </c>
      <c r="Q300" s="35"/>
      <c r="R300" s="35"/>
    </row>
    <row r="301" ht="19.5" customHeight="1">
      <c r="A301" s="38"/>
      <c r="B301" s="39"/>
      <c r="C301" s="39"/>
      <c r="D301" s="39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1" t="str">
        <f t="shared" si="1"/>
        <v>-</v>
      </c>
      <c r="Q301" s="39"/>
      <c r="R301" s="39"/>
    </row>
    <row r="302" ht="19.5" customHeight="1">
      <c r="A302" s="34"/>
      <c r="B302" s="35"/>
      <c r="C302" s="35"/>
      <c r="D302" s="3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7" t="str">
        <f t="shared" si="1"/>
        <v>-</v>
      </c>
      <c r="Q302" s="35"/>
      <c r="R302" s="35"/>
    </row>
    <row r="303" ht="19.5" customHeight="1">
      <c r="A303" s="38"/>
      <c r="B303" s="39"/>
      <c r="C303" s="39"/>
      <c r="D303" s="39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1" t="str">
        <f t="shared" si="1"/>
        <v>-</v>
      </c>
      <c r="Q303" s="39"/>
      <c r="R303" s="39"/>
    </row>
    <row r="304" ht="19.5" customHeight="1">
      <c r="A304" s="34"/>
      <c r="B304" s="35"/>
      <c r="C304" s="35"/>
      <c r="D304" s="3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7" t="str">
        <f t="shared" si="1"/>
        <v>-</v>
      </c>
      <c r="Q304" s="35"/>
      <c r="R304" s="35"/>
    </row>
    <row r="305" ht="19.5" customHeight="1">
      <c r="A305" s="38"/>
      <c r="B305" s="39"/>
      <c r="C305" s="39"/>
      <c r="D305" s="39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1" t="str">
        <f t="shared" si="1"/>
        <v>-</v>
      </c>
      <c r="Q305" s="39"/>
      <c r="R305" s="39"/>
    </row>
    <row r="306" ht="19.5" customHeight="1">
      <c r="A306" s="34"/>
      <c r="B306" s="35"/>
      <c r="C306" s="35"/>
      <c r="D306" s="3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7" t="str">
        <f t="shared" si="1"/>
        <v>-</v>
      </c>
      <c r="Q306" s="35"/>
      <c r="R306" s="35"/>
    </row>
    <row r="307" ht="19.5" customHeight="1">
      <c r="A307" s="38"/>
      <c r="B307" s="39"/>
      <c r="C307" s="39"/>
      <c r="D307" s="39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1" t="str">
        <f t="shared" si="1"/>
        <v>-</v>
      </c>
      <c r="Q307" s="39"/>
      <c r="R307" s="39"/>
    </row>
    <row r="308" ht="19.5" customHeight="1">
      <c r="A308" s="34"/>
      <c r="B308" s="35"/>
      <c r="C308" s="35"/>
      <c r="D308" s="3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7" t="str">
        <f t="shared" si="1"/>
        <v>-</v>
      </c>
      <c r="Q308" s="35"/>
      <c r="R308" s="35"/>
    </row>
    <row r="309" ht="19.5" customHeight="1">
      <c r="A309" s="38"/>
      <c r="B309" s="39"/>
      <c r="C309" s="39"/>
      <c r="D309" s="39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1" t="str">
        <f t="shared" si="1"/>
        <v>-</v>
      </c>
      <c r="Q309" s="39"/>
      <c r="R309" s="39"/>
    </row>
    <row r="310" ht="19.5" customHeight="1">
      <c r="A310" s="34"/>
      <c r="B310" s="35"/>
      <c r="C310" s="35"/>
      <c r="D310" s="3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7" t="str">
        <f t="shared" si="1"/>
        <v>-</v>
      </c>
      <c r="Q310" s="35"/>
      <c r="R310" s="35"/>
    </row>
    <row r="311" ht="19.5" customHeight="1">
      <c r="A311" s="38"/>
      <c r="B311" s="39"/>
      <c r="C311" s="39"/>
      <c r="D311" s="39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1" t="str">
        <f t="shared" si="1"/>
        <v>-</v>
      </c>
      <c r="Q311" s="39"/>
      <c r="R311" s="39"/>
    </row>
    <row r="312" ht="19.5" customHeight="1">
      <c r="A312" s="34"/>
      <c r="B312" s="35"/>
      <c r="C312" s="35"/>
      <c r="D312" s="3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7" t="str">
        <f t="shared" si="1"/>
        <v>-</v>
      </c>
      <c r="Q312" s="35"/>
      <c r="R312" s="35"/>
    </row>
    <row r="313" ht="19.5" customHeight="1">
      <c r="A313" s="38"/>
      <c r="B313" s="39"/>
      <c r="C313" s="39"/>
      <c r="D313" s="39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1" t="str">
        <f t="shared" si="1"/>
        <v>-</v>
      </c>
      <c r="Q313" s="39"/>
      <c r="R313" s="39"/>
    </row>
    <row r="314" ht="19.5" customHeight="1">
      <c r="A314" s="34"/>
      <c r="B314" s="35"/>
      <c r="C314" s="35"/>
      <c r="D314" s="3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7" t="str">
        <f t="shared" si="1"/>
        <v>-</v>
      </c>
      <c r="Q314" s="35"/>
      <c r="R314" s="35"/>
    </row>
    <row r="315" ht="19.5" customHeight="1">
      <c r="A315" s="38"/>
      <c r="B315" s="39"/>
      <c r="C315" s="39"/>
      <c r="D315" s="39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1" t="str">
        <f t="shared" si="1"/>
        <v>-</v>
      </c>
      <c r="Q315" s="39"/>
      <c r="R315" s="39"/>
    </row>
    <row r="316" ht="19.5" customHeight="1">
      <c r="A316" s="34"/>
      <c r="B316" s="35"/>
      <c r="C316" s="35"/>
      <c r="D316" s="3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7" t="str">
        <f t="shared" si="1"/>
        <v>-</v>
      </c>
      <c r="Q316" s="35"/>
      <c r="R316" s="35"/>
    </row>
    <row r="317" ht="19.5" customHeight="1">
      <c r="A317" s="38"/>
      <c r="B317" s="39"/>
      <c r="C317" s="39"/>
      <c r="D317" s="39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1" t="str">
        <f t="shared" si="1"/>
        <v>-</v>
      </c>
      <c r="Q317" s="39"/>
      <c r="R317" s="39"/>
    </row>
    <row r="318" ht="19.5" customHeight="1">
      <c r="A318" s="34"/>
      <c r="B318" s="35"/>
      <c r="C318" s="35"/>
      <c r="D318" s="3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7" t="str">
        <f t="shared" si="1"/>
        <v>-</v>
      </c>
      <c r="Q318" s="35"/>
      <c r="R318" s="35"/>
    </row>
    <row r="319" ht="19.5" customHeight="1">
      <c r="A319" s="38"/>
      <c r="B319" s="39"/>
      <c r="C319" s="39"/>
      <c r="D319" s="39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1" t="str">
        <f t="shared" si="1"/>
        <v>-</v>
      </c>
      <c r="Q319" s="39"/>
      <c r="R319" s="39"/>
    </row>
    <row r="320" ht="19.5" customHeight="1">
      <c r="A320" s="34"/>
      <c r="B320" s="35"/>
      <c r="C320" s="35"/>
      <c r="D320" s="3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7" t="str">
        <f t="shared" si="1"/>
        <v>-</v>
      </c>
      <c r="Q320" s="35"/>
      <c r="R320" s="35"/>
    </row>
    <row r="321" ht="19.5" customHeight="1">
      <c r="A321" s="38"/>
      <c r="B321" s="39"/>
      <c r="C321" s="39"/>
      <c r="D321" s="39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1" t="str">
        <f t="shared" si="1"/>
        <v>-</v>
      </c>
      <c r="Q321" s="39"/>
      <c r="R321" s="39"/>
    </row>
    <row r="322" ht="19.5" customHeight="1">
      <c r="A322" s="34"/>
      <c r="B322" s="35"/>
      <c r="C322" s="35"/>
      <c r="D322" s="3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7" t="str">
        <f t="shared" si="1"/>
        <v>-</v>
      </c>
      <c r="Q322" s="35"/>
      <c r="R322" s="35"/>
    </row>
    <row r="323" ht="19.5" customHeight="1">
      <c r="A323" s="38"/>
      <c r="B323" s="39"/>
      <c r="C323" s="39"/>
      <c r="D323" s="39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1" t="str">
        <f t="shared" si="1"/>
        <v>-</v>
      </c>
      <c r="Q323" s="39"/>
      <c r="R323" s="39"/>
    </row>
    <row r="324" ht="19.5" customHeight="1">
      <c r="A324" s="34"/>
      <c r="B324" s="35"/>
      <c r="C324" s="35"/>
      <c r="D324" s="3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7" t="str">
        <f t="shared" si="1"/>
        <v>-</v>
      </c>
      <c r="Q324" s="35"/>
      <c r="R324" s="35"/>
    </row>
    <row r="325" ht="19.5" customHeight="1">
      <c r="A325" s="38"/>
      <c r="B325" s="39"/>
      <c r="C325" s="39"/>
      <c r="D325" s="39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1" t="str">
        <f t="shared" si="1"/>
        <v>-</v>
      </c>
      <c r="Q325" s="39"/>
      <c r="R325" s="39"/>
    </row>
    <row r="326" ht="19.5" customHeight="1">
      <c r="A326" s="34"/>
      <c r="B326" s="35"/>
      <c r="C326" s="35"/>
      <c r="D326" s="3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7" t="str">
        <f t="shared" si="1"/>
        <v>-</v>
      </c>
      <c r="Q326" s="35"/>
      <c r="R326" s="35"/>
    </row>
    <row r="327" ht="19.5" customHeight="1">
      <c r="A327" s="38"/>
      <c r="B327" s="39"/>
      <c r="C327" s="39"/>
      <c r="D327" s="39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1" t="str">
        <f t="shared" si="1"/>
        <v>-</v>
      </c>
      <c r="Q327" s="39"/>
      <c r="R327" s="39"/>
    </row>
    <row r="328" ht="19.5" customHeight="1">
      <c r="A328" s="34"/>
      <c r="B328" s="35"/>
      <c r="C328" s="35"/>
      <c r="D328" s="3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7" t="str">
        <f t="shared" si="1"/>
        <v>-</v>
      </c>
      <c r="Q328" s="35"/>
      <c r="R328" s="35"/>
    </row>
    <row r="329" ht="19.5" customHeight="1">
      <c r="A329" s="38"/>
      <c r="B329" s="39"/>
      <c r="C329" s="39"/>
      <c r="D329" s="39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1" t="str">
        <f t="shared" si="1"/>
        <v>-</v>
      </c>
      <c r="Q329" s="39"/>
      <c r="R329" s="39"/>
    </row>
    <row r="330" ht="19.5" customHeight="1">
      <c r="A330" s="34"/>
      <c r="B330" s="35"/>
      <c r="C330" s="35"/>
      <c r="D330" s="3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7" t="str">
        <f t="shared" si="1"/>
        <v>-</v>
      </c>
      <c r="Q330" s="35"/>
      <c r="R330" s="35"/>
    </row>
    <row r="331" ht="19.5" customHeight="1">
      <c r="A331" s="38"/>
      <c r="B331" s="39"/>
      <c r="C331" s="39"/>
      <c r="D331" s="39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1" t="str">
        <f t="shared" si="1"/>
        <v>-</v>
      </c>
      <c r="Q331" s="39"/>
      <c r="R331" s="39"/>
    </row>
    <row r="332" ht="19.5" customHeight="1">
      <c r="A332" s="34"/>
      <c r="B332" s="35"/>
      <c r="C332" s="35"/>
      <c r="D332" s="3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7" t="str">
        <f t="shared" si="1"/>
        <v>-</v>
      </c>
      <c r="Q332" s="35"/>
      <c r="R332" s="35"/>
    </row>
    <row r="333" ht="19.5" customHeight="1">
      <c r="A333" s="38"/>
      <c r="B333" s="39"/>
      <c r="C333" s="39"/>
      <c r="D333" s="39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1" t="str">
        <f t="shared" si="1"/>
        <v>-</v>
      </c>
      <c r="Q333" s="39"/>
      <c r="R333" s="39"/>
    </row>
    <row r="334" ht="19.5" customHeight="1">
      <c r="A334" s="34"/>
      <c r="B334" s="35"/>
      <c r="C334" s="35"/>
      <c r="D334" s="3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7" t="str">
        <f t="shared" si="1"/>
        <v>-</v>
      </c>
      <c r="Q334" s="35"/>
      <c r="R334" s="35"/>
    </row>
    <row r="335" ht="19.5" customHeight="1">
      <c r="A335" s="38"/>
      <c r="B335" s="39"/>
      <c r="C335" s="39"/>
      <c r="D335" s="3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1" t="str">
        <f t="shared" si="1"/>
        <v>-</v>
      </c>
      <c r="Q335" s="39"/>
      <c r="R335" s="39"/>
    </row>
    <row r="336" ht="19.5" customHeight="1">
      <c r="A336" s="34"/>
      <c r="B336" s="35"/>
      <c r="C336" s="35"/>
      <c r="D336" s="3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7" t="str">
        <f t="shared" si="1"/>
        <v>-</v>
      </c>
      <c r="Q336" s="35"/>
      <c r="R336" s="35"/>
    </row>
    <row r="337" ht="19.5" customHeight="1">
      <c r="A337" s="38"/>
      <c r="B337" s="39"/>
      <c r="C337" s="39"/>
      <c r="D337" s="39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1" t="str">
        <f t="shared" si="1"/>
        <v>-</v>
      </c>
      <c r="Q337" s="39"/>
      <c r="R337" s="39"/>
    </row>
    <row r="338" ht="19.5" customHeight="1">
      <c r="A338" s="34"/>
      <c r="B338" s="35"/>
      <c r="C338" s="35"/>
      <c r="D338" s="3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7" t="str">
        <f t="shared" si="1"/>
        <v>-</v>
      </c>
      <c r="Q338" s="35"/>
      <c r="R338" s="35"/>
    </row>
    <row r="339" ht="19.5" customHeight="1">
      <c r="A339" s="38"/>
      <c r="B339" s="39"/>
      <c r="C339" s="39"/>
      <c r="D339" s="39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1" t="str">
        <f t="shared" si="1"/>
        <v>-</v>
      </c>
      <c r="Q339" s="39"/>
      <c r="R339" s="39"/>
    </row>
    <row r="340" ht="19.5" customHeight="1">
      <c r="A340" s="34"/>
      <c r="B340" s="35"/>
      <c r="C340" s="35"/>
      <c r="D340" s="3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7" t="str">
        <f t="shared" si="1"/>
        <v>-</v>
      </c>
      <c r="Q340" s="35"/>
      <c r="R340" s="35"/>
    </row>
    <row r="341" ht="19.5" customHeight="1">
      <c r="A341" s="38"/>
      <c r="B341" s="39"/>
      <c r="C341" s="39"/>
      <c r="D341" s="39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1" t="str">
        <f t="shared" si="1"/>
        <v>-</v>
      </c>
      <c r="Q341" s="39"/>
      <c r="R341" s="39"/>
    </row>
    <row r="342" ht="19.5" customHeight="1">
      <c r="A342" s="34"/>
      <c r="B342" s="35"/>
      <c r="C342" s="35"/>
      <c r="D342" s="3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7" t="str">
        <f t="shared" si="1"/>
        <v>-</v>
      </c>
      <c r="Q342" s="35"/>
      <c r="R342" s="35"/>
    </row>
    <row r="343" ht="19.5" customHeight="1">
      <c r="A343" s="38"/>
      <c r="B343" s="39"/>
      <c r="C343" s="39"/>
      <c r="D343" s="39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1" t="str">
        <f t="shared" si="1"/>
        <v>-</v>
      </c>
      <c r="Q343" s="39"/>
      <c r="R343" s="39"/>
    </row>
    <row r="344" ht="19.5" customHeight="1">
      <c r="A344" s="34"/>
      <c r="B344" s="35"/>
      <c r="C344" s="35"/>
      <c r="D344" s="3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7" t="str">
        <f t="shared" si="1"/>
        <v>-</v>
      </c>
      <c r="Q344" s="35"/>
      <c r="R344" s="35"/>
    </row>
    <row r="345" ht="19.5" customHeight="1">
      <c r="A345" s="38"/>
      <c r="B345" s="39"/>
      <c r="C345" s="39"/>
      <c r="D345" s="39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1" t="str">
        <f t="shared" si="1"/>
        <v>-</v>
      </c>
      <c r="Q345" s="39"/>
      <c r="R345" s="39"/>
    </row>
    <row r="346" ht="19.5" customHeight="1">
      <c r="A346" s="34"/>
      <c r="B346" s="35"/>
      <c r="C346" s="35"/>
      <c r="D346" s="3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7" t="str">
        <f t="shared" si="1"/>
        <v>-</v>
      </c>
      <c r="Q346" s="35"/>
      <c r="R346" s="35"/>
    </row>
    <row r="347" ht="19.5" customHeight="1">
      <c r="A347" s="38"/>
      <c r="B347" s="39"/>
      <c r="C347" s="39"/>
      <c r="D347" s="39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1" t="str">
        <f t="shared" si="1"/>
        <v>-</v>
      </c>
      <c r="Q347" s="39"/>
      <c r="R347" s="39"/>
    </row>
    <row r="348" ht="19.5" customHeight="1">
      <c r="A348" s="34"/>
      <c r="B348" s="35"/>
      <c r="C348" s="35"/>
      <c r="D348" s="3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7" t="str">
        <f t="shared" si="1"/>
        <v>-</v>
      </c>
      <c r="Q348" s="35"/>
      <c r="R348" s="35"/>
    </row>
    <row r="349" ht="19.5" customHeight="1">
      <c r="A349" s="38"/>
      <c r="B349" s="39"/>
      <c r="C349" s="39"/>
      <c r="D349" s="39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1" t="str">
        <f t="shared" si="1"/>
        <v>-</v>
      </c>
      <c r="Q349" s="39"/>
      <c r="R349" s="39"/>
    </row>
    <row r="350" ht="19.5" customHeight="1">
      <c r="A350" s="34"/>
      <c r="B350" s="35"/>
      <c r="C350" s="35"/>
      <c r="D350" s="3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7" t="str">
        <f t="shared" si="1"/>
        <v>-</v>
      </c>
      <c r="Q350" s="35"/>
      <c r="R350" s="35"/>
    </row>
    <row r="351" ht="19.5" customHeight="1">
      <c r="A351" s="38"/>
      <c r="B351" s="39"/>
      <c r="C351" s="39"/>
      <c r="D351" s="39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1" t="str">
        <f t="shared" si="1"/>
        <v>-</v>
      </c>
      <c r="Q351" s="39"/>
      <c r="R351" s="39"/>
    </row>
    <row r="352" ht="19.5" customHeight="1">
      <c r="A352" s="34"/>
      <c r="B352" s="35"/>
      <c r="C352" s="35"/>
      <c r="D352" s="3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7" t="str">
        <f t="shared" si="1"/>
        <v>-</v>
      </c>
      <c r="Q352" s="35"/>
      <c r="R352" s="35"/>
    </row>
    <row r="353" ht="19.5" customHeight="1">
      <c r="A353" s="38"/>
      <c r="B353" s="39"/>
      <c r="C353" s="39"/>
      <c r="D353" s="39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1" t="str">
        <f t="shared" si="1"/>
        <v>-</v>
      </c>
      <c r="Q353" s="39"/>
      <c r="R353" s="39"/>
    </row>
    <row r="354" ht="19.5" customHeight="1">
      <c r="A354" s="34"/>
      <c r="B354" s="35"/>
      <c r="C354" s="35"/>
      <c r="D354" s="3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7" t="str">
        <f t="shared" si="1"/>
        <v>-</v>
      </c>
      <c r="Q354" s="35"/>
      <c r="R354" s="35"/>
    </row>
    <row r="355" ht="19.5" customHeight="1">
      <c r="A355" s="38"/>
      <c r="B355" s="39"/>
      <c r="C355" s="39"/>
      <c r="D355" s="39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1" t="str">
        <f t="shared" si="1"/>
        <v>-</v>
      </c>
      <c r="Q355" s="39"/>
      <c r="R355" s="39"/>
    </row>
    <row r="356" ht="19.5" customHeight="1">
      <c r="A356" s="34"/>
      <c r="B356" s="35"/>
      <c r="C356" s="35"/>
      <c r="D356" s="3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7" t="str">
        <f t="shared" si="1"/>
        <v>-</v>
      </c>
      <c r="Q356" s="35"/>
      <c r="R356" s="35"/>
    </row>
    <row r="357" ht="19.5" customHeight="1">
      <c r="A357" s="38"/>
      <c r="B357" s="39"/>
      <c r="C357" s="39"/>
      <c r="D357" s="39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1" t="str">
        <f t="shared" si="1"/>
        <v>-</v>
      </c>
      <c r="Q357" s="39"/>
      <c r="R357" s="39"/>
    </row>
    <row r="358" ht="19.5" customHeight="1">
      <c r="A358" s="34"/>
      <c r="B358" s="35"/>
      <c r="C358" s="35"/>
      <c r="D358" s="3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7" t="str">
        <f t="shared" si="1"/>
        <v>-</v>
      </c>
      <c r="Q358" s="35"/>
      <c r="R358" s="35"/>
    </row>
    <row r="359" ht="19.5" customHeight="1">
      <c r="A359" s="38"/>
      <c r="B359" s="39"/>
      <c r="C359" s="39"/>
      <c r="D359" s="39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1" t="str">
        <f t="shared" si="1"/>
        <v>-</v>
      </c>
      <c r="Q359" s="39"/>
      <c r="R359" s="39"/>
    </row>
    <row r="360" ht="19.5" customHeight="1">
      <c r="A360" s="34"/>
      <c r="B360" s="35"/>
      <c r="C360" s="35"/>
      <c r="D360" s="3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7" t="str">
        <f t="shared" si="1"/>
        <v>-</v>
      </c>
      <c r="Q360" s="35"/>
      <c r="R360" s="35"/>
    </row>
    <row r="361" ht="19.5" customHeight="1">
      <c r="A361" s="38"/>
      <c r="B361" s="39"/>
      <c r="C361" s="39"/>
      <c r="D361" s="39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1" t="str">
        <f t="shared" si="1"/>
        <v>-</v>
      </c>
      <c r="Q361" s="39"/>
      <c r="R361" s="39"/>
    </row>
    <row r="362" ht="19.5" customHeight="1">
      <c r="A362" s="34"/>
      <c r="B362" s="35"/>
      <c r="C362" s="35"/>
      <c r="D362" s="3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7" t="str">
        <f t="shared" si="1"/>
        <v>-</v>
      </c>
      <c r="Q362" s="35"/>
      <c r="R362" s="35"/>
    </row>
    <row r="363" ht="19.5" customHeight="1">
      <c r="A363" s="38"/>
      <c r="B363" s="39"/>
      <c r="C363" s="39"/>
      <c r="D363" s="39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1" t="str">
        <f t="shared" si="1"/>
        <v>-</v>
      </c>
      <c r="Q363" s="39"/>
      <c r="R363" s="39"/>
    </row>
    <row r="364" ht="19.5" customHeight="1">
      <c r="A364" s="34"/>
      <c r="B364" s="35"/>
      <c r="C364" s="35"/>
      <c r="D364" s="3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7" t="str">
        <f t="shared" si="1"/>
        <v>-</v>
      </c>
      <c r="Q364" s="35"/>
      <c r="R364" s="35"/>
    </row>
    <row r="365" ht="19.5" customHeight="1">
      <c r="A365" s="38"/>
      <c r="B365" s="39"/>
      <c r="C365" s="39"/>
      <c r="D365" s="39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1" t="str">
        <f t="shared" si="1"/>
        <v>-</v>
      </c>
      <c r="Q365" s="39"/>
      <c r="R365" s="39"/>
    </row>
    <row r="366" ht="19.5" customHeight="1">
      <c r="A366" s="34"/>
      <c r="B366" s="35"/>
      <c r="C366" s="35"/>
      <c r="D366" s="3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7" t="str">
        <f t="shared" si="1"/>
        <v>-</v>
      </c>
      <c r="Q366" s="35"/>
      <c r="R366" s="35"/>
    </row>
    <row r="367" ht="19.5" customHeight="1">
      <c r="A367" s="38"/>
      <c r="B367" s="39"/>
      <c r="C367" s="39"/>
      <c r="D367" s="39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1" t="str">
        <f t="shared" si="1"/>
        <v>-</v>
      </c>
      <c r="Q367" s="39"/>
      <c r="R367" s="39"/>
    </row>
    <row r="368" ht="19.5" customHeight="1">
      <c r="A368" s="34"/>
      <c r="B368" s="35"/>
      <c r="C368" s="35"/>
      <c r="D368" s="3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7" t="str">
        <f t="shared" si="1"/>
        <v>-</v>
      </c>
      <c r="Q368" s="35"/>
      <c r="R368" s="35"/>
    </row>
    <row r="369" ht="19.5" customHeight="1">
      <c r="A369" s="38"/>
      <c r="B369" s="39"/>
      <c r="C369" s="39"/>
      <c r="D369" s="39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1" t="str">
        <f t="shared" si="1"/>
        <v>-</v>
      </c>
      <c r="Q369" s="39"/>
      <c r="R369" s="39"/>
    </row>
    <row r="370" ht="19.5" customHeight="1">
      <c r="A370" s="34"/>
      <c r="B370" s="35"/>
      <c r="C370" s="35"/>
      <c r="D370" s="3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7" t="str">
        <f t="shared" si="1"/>
        <v>-</v>
      </c>
      <c r="Q370" s="35"/>
      <c r="R370" s="35"/>
    </row>
    <row r="371" ht="19.5" customHeight="1">
      <c r="A371" s="38"/>
      <c r="B371" s="39"/>
      <c r="C371" s="39"/>
      <c r="D371" s="39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1" t="str">
        <f t="shared" si="1"/>
        <v>-</v>
      </c>
      <c r="Q371" s="39"/>
      <c r="R371" s="39"/>
    </row>
    <row r="372" ht="19.5" customHeight="1">
      <c r="A372" s="34"/>
      <c r="B372" s="35"/>
      <c r="C372" s="35"/>
      <c r="D372" s="3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7" t="str">
        <f t="shared" si="1"/>
        <v>-</v>
      </c>
      <c r="Q372" s="35"/>
      <c r="R372" s="35"/>
    </row>
    <row r="373" ht="19.5" customHeight="1">
      <c r="A373" s="38"/>
      <c r="B373" s="39"/>
      <c r="C373" s="39"/>
      <c r="D373" s="39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1" t="str">
        <f t="shared" si="1"/>
        <v>-</v>
      </c>
      <c r="Q373" s="39"/>
      <c r="R373" s="39"/>
    </row>
    <row r="374" ht="19.5" customHeight="1">
      <c r="A374" s="34"/>
      <c r="B374" s="35"/>
      <c r="C374" s="35"/>
      <c r="D374" s="3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7" t="str">
        <f t="shared" si="1"/>
        <v>-</v>
      </c>
      <c r="Q374" s="35"/>
      <c r="R374" s="35"/>
    </row>
    <row r="375" ht="19.5" customHeight="1">
      <c r="A375" s="38"/>
      <c r="B375" s="39"/>
      <c r="C375" s="39"/>
      <c r="D375" s="39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1" t="str">
        <f t="shared" si="1"/>
        <v>-</v>
      </c>
      <c r="Q375" s="39"/>
      <c r="R375" s="39"/>
    </row>
    <row r="376" ht="19.5" customHeight="1">
      <c r="A376" s="34"/>
      <c r="B376" s="35"/>
      <c r="C376" s="35"/>
      <c r="D376" s="3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7" t="str">
        <f t="shared" si="1"/>
        <v>-</v>
      </c>
      <c r="Q376" s="35"/>
      <c r="R376" s="35"/>
    </row>
    <row r="377" ht="19.5" customHeight="1">
      <c r="A377" s="38"/>
      <c r="B377" s="39"/>
      <c r="C377" s="39"/>
      <c r="D377" s="39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1" t="str">
        <f t="shared" si="1"/>
        <v>-</v>
      </c>
      <c r="Q377" s="39"/>
      <c r="R377" s="39"/>
    </row>
    <row r="378" ht="19.5" customHeight="1">
      <c r="A378" s="34"/>
      <c r="B378" s="35"/>
      <c r="C378" s="35"/>
      <c r="D378" s="3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7" t="str">
        <f t="shared" si="1"/>
        <v>-</v>
      </c>
      <c r="Q378" s="35"/>
      <c r="R378" s="35"/>
    </row>
    <row r="379" ht="19.5" customHeight="1">
      <c r="A379" s="38"/>
      <c r="B379" s="39"/>
      <c r="C379" s="39"/>
      <c r="D379" s="39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1" t="str">
        <f t="shared" si="1"/>
        <v>-</v>
      </c>
      <c r="Q379" s="39"/>
      <c r="R379" s="39"/>
    </row>
    <row r="380" ht="19.5" customHeight="1">
      <c r="A380" s="34"/>
      <c r="B380" s="35"/>
      <c r="C380" s="35"/>
      <c r="D380" s="3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7" t="str">
        <f t="shared" si="1"/>
        <v>-</v>
      </c>
      <c r="Q380" s="35"/>
      <c r="R380" s="35"/>
    </row>
    <row r="381" ht="19.5" customHeight="1">
      <c r="A381" s="38"/>
      <c r="B381" s="39"/>
      <c r="C381" s="39"/>
      <c r="D381" s="39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1" t="str">
        <f t="shared" si="1"/>
        <v>-</v>
      </c>
      <c r="Q381" s="39"/>
      <c r="R381" s="39"/>
    </row>
    <row r="382" ht="19.5" customHeight="1">
      <c r="A382" s="34"/>
      <c r="B382" s="35"/>
      <c r="C382" s="35"/>
      <c r="D382" s="3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7" t="str">
        <f t="shared" si="1"/>
        <v>-</v>
      </c>
      <c r="Q382" s="35"/>
      <c r="R382" s="35"/>
    </row>
    <row r="383" ht="19.5" customHeight="1">
      <c r="A383" s="38"/>
      <c r="B383" s="39"/>
      <c r="C383" s="39"/>
      <c r="D383" s="39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1" t="str">
        <f t="shared" si="1"/>
        <v>-</v>
      </c>
      <c r="Q383" s="39"/>
      <c r="R383" s="39"/>
    </row>
    <row r="384" ht="19.5" customHeight="1">
      <c r="A384" s="34"/>
      <c r="B384" s="35"/>
      <c r="C384" s="35"/>
      <c r="D384" s="3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7" t="str">
        <f t="shared" si="1"/>
        <v>-</v>
      </c>
      <c r="Q384" s="35"/>
      <c r="R384" s="35"/>
    </row>
    <row r="385" ht="19.5" customHeight="1">
      <c r="A385" s="38"/>
      <c r="B385" s="39"/>
      <c r="C385" s="39"/>
      <c r="D385" s="39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1" t="str">
        <f t="shared" si="1"/>
        <v>-</v>
      </c>
      <c r="Q385" s="39"/>
      <c r="R385" s="39"/>
    </row>
    <row r="386" ht="19.5" customHeight="1">
      <c r="A386" s="34"/>
      <c r="B386" s="35"/>
      <c r="C386" s="35"/>
      <c r="D386" s="3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7" t="str">
        <f t="shared" si="1"/>
        <v>-</v>
      </c>
      <c r="Q386" s="35"/>
      <c r="R386" s="35"/>
    </row>
    <row r="387" ht="19.5" customHeight="1">
      <c r="A387" s="38"/>
      <c r="B387" s="39"/>
      <c r="C387" s="39"/>
      <c r="D387" s="39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1" t="str">
        <f t="shared" si="1"/>
        <v>-</v>
      </c>
      <c r="Q387" s="39"/>
      <c r="R387" s="39"/>
    </row>
    <row r="388" ht="19.5" customHeight="1">
      <c r="A388" s="34"/>
      <c r="B388" s="35"/>
      <c r="C388" s="35"/>
      <c r="D388" s="3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7" t="str">
        <f t="shared" si="1"/>
        <v>-</v>
      </c>
      <c r="Q388" s="35"/>
      <c r="R388" s="35"/>
    </row>
    <row r="389" ht="19.5" customHeight="1">
      <c r="A389" s="38"/>
      <c r="B389" s="39"/>
      <c r="C389" s="39"/>
      <c r="D389" s="39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1" t="str">
        <f t="shared" si="1"/>
        <v>-</v>
      </c>
      <c r="Q389" s="39"/>
      <c r="R389" s="39"/>
    </row>
    <row r="390" ht="19.5" customHeight="1">
      <c r="A390" s="34"/>
      <c r="B390" s="35"/>
      <c r="C390" s="35"/>
      <c r="D390" s="3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7" t="str">
        <f t="shared" si="1"/>
        <v>-</v>
      </c>
      <c r="Q390" s="35"/>
      <c r="R390" s="35"/>
    </row>
    <row r="391" ht="19.5" customHeight="1">
      <c r="A391" s="38"/>
      <c r="B391" s="39"/>
      <c r="C391" s="39"/>
      <c r="D391" s="39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1" t="str">
        <f t="shared" si="1"/>
        <v>-</v>
      </c>
      <c r="Q391" s="39"/>
      <c r="R391" s="39"/>
    </row>
    <row r="392" ht="19.5" customHeight="1">
      <c r="A392" s="34"/>
      <c r="B392" s="35"/>
      <c r="C392" s="35"/>
      <c r="D392" s="3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7" t="str">
        <f t="shared" si="1"/>
        <v>-</v>
      </c>
      <c r="Q392" s="35"/>
      <c r="R392" s="35"/>
    </row>
    <row r="393" ht="19.5" customHeight="1">
      <c r="A393" s="38"/>
      <c r="B393" s="39"/>
      <c r="C393" s="39"/>
      <c r="D393" s="39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1" t="str">
        <f t="shared" si="1"/>
        <v>-</v>
      </c>
      <c r="Q393" s="39"/>
      <c r="R393" s="39"/>
    </row>
    <row r="394" ht="19.5" customHeight="1">
      <c r="A394" s="34"/>
      <c r="B394" s="35"/>
      <c r="C394" s="35"/>
      <c r="D394" s="3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7" t="str">
        <f t="shared" si="1"/>
        <v>-</v>
      </c>
      <c r="Q394" s="35"/>
      <c r="R394" s="35"/>
    </row>
    <row r="395" ht="19.5" customHeight="1">
      <c r="A395" s="38"/>
      <c r="B395" s="39"/>
      <c r="C395" s="39"/>
      <c r="D395" s="39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1" t="str">
        <f t="shared" si="1"/>
        <v>-</v>
      </c>
      <c r="Q395" s="39"/>
      <c r="R395" s="39"/>
    </row>
    <row r="396" ht="19.5" customHeight="1">
      <c r="A396" s="34"/>
      <c r="B396" s="35"/>
      <c r="C396" s="35"/>
      <c r="D396" s="3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7" t="str">
        <f t="shared" si="1"/>
        <v>-</v>
      </c>
      <c r="Q396" s="35"/>
      <c r="R396" s="35"/>
    </row>
    <row r="397" ht="19.5" customHeight="1">
      <c r="A397" s="38"/>
      <c r="B397" s="39"/>
      <c r="C397" s="39"/>
      <c r="D397" s="39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1" t="str">
        <f t="shared" si="1"/>
        <v>-</v>
      </c>
      <c r="Q397" s="39"/>
      <c r="R397" s="39"/>
    </row>
    <row r="398" ht="19.5" customHeight="1">
      <c r="A398" s="34"/>
      <c r="B398" s="35"/>
      <c r="C398" s="35"/>
      <c r="D398" s="3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7" t="str">
        <f t="shared" si="1"/>
        <v>-</v>
      </c>
      <c r="Q398" s="35"/>
      <c r="R398" s="35"/>
    </row>
    <row r="399" ht="19.5" customHeight="1">
      <c r="A399" s="38"/>
      <c r="B399" s="39"/>
      <c r="C399" s="39"/>
      <c r="D399" s="39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1" t="str">
        <f t="shared" si="1"/>
        <v>-</v>
      </c>
      <c r="Q399" s="39"/>
      <c r="R399" s="39"/>
    </row>
    <row r="400" ht="19.5" customHeight="1">
      <c r="A400" s="34"/>
      <c r="B400" s="35"/>
      <c r="C400" s="35"/>
      <c r="D400" s="3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7" t="str">
        <f t="shared" si="1"/>
        <v>-</v>
      </c>
      <c r="Q400" s="35"/>
      <c r="R400" s="35"/>
    </row>
    <row r="401" ht="19.5" customHeight="1">
      <c r="A401" s="38"/>
      <c r="B401" s="39"/>
      <c r="C401" s="39"/>
      <c r="D401" s="39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1" t="str">
        <f t="shared" si="1"/>
        <v>-</v>
      </c>
      <c r="Q401" s="39"/>
      <c r="R401" s="39"/>
    </row>
    <row r="402" ht="19.5" customHeight="1">
      <c r="A402" s="34"/>
      <c r="B402" s="35"/>
      <c r="C402" s="35"/>
      <c r="D402" s="3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7" t="str">
        <f t="shared" si="1"/>
        <v>-</v>
      </c>
      <c r="Q402" s="35"/>
      <c r="R402" s="35"/>
    </row>
    <row r="403" ht="19.5" customHeight="1">
      <c r="A403" s="38"/>
      <c r="B403" s="39"/>
      <c r="C403" s="39"/>
      <c r="D403" s="39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1" t="str">
        <f t="shared" si="1"/>
        <v>-</v>
      </c>
      <c r="Q403" s="39"/>
      <c r="R403" s="39"/>
    </row>
    <row r="404" ht="19.5" customHeight="1">
      <c r="A404" s="34"/>
      <c r="B404" s="35"/>
      <c r="C404" s="35"/>
      <c r="D404" s="3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7" t="str">
        <f t="shared" si="1"/>
        <v>-</v>
      </c>
      <c r="Q404" s="35"/>
      <c r="R404" s="35"/>
    </row>
    <row r="405" ht="19.5" customHeight="1">
      <c r="A405" s="38"/>
      <c r="B405" s="39"/>
      <c r="C405" s="39"/>
      <c r="D405" s="39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1" t="str">
        <f t="shared" si="1"/>
        <v>-</v>
      </c>
      <c r="Q405" s="39"/>
      <c r="R405" s="39"/>
    </row>
    <row r="406" ht="19.5" customHeight="1">
      <c r="A406" s="34"/>
      <c r="B406" s="35"/>
      <c r="C406" s="35"/>
      <c r="D406" s="3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7" t="str">
        <f t="shared" si="1"/>
        <v>-</v>
      </c>
      <c r="Q406" s="35"/>
      <c r="R406" s="35"/>
    </row>
    <row r="407" ht="19.5" customHeight="1">
      <c r="A407" s="38"/>
      <c r="B407" s="39"/>
      <c r="C407" s="39"/>
      <c r="D407" s="39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1" t="str">
        <f t="shared" si="1"/>
        <v>-</v>
      </c>
      <c r="Q407" s="39"/>
      <c r="R407" s="39"/>
    </row>
    <row r="408" ht="19.5" customHeight="1">
      <c r="A408" s="34"/>
      <c r="B408" s="35"/>
      <c r="C408" s="35"/>
      <c r="D408" s="3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7" t="str">
        <f t="shared" si="1"/>
        <v>-</v>
      </c>
      <c r="Q408" s="35"/>
      <c r="R408" s="35"/>
    </row>
    <row r="409" ht="19.5" customHeight="1">
      <c r="A409" s="38"/>
      <c r="B409" s="39"/>
      <c r="C409" s="39"/>
      <c r="D409" s="39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1" t="str">
        <f t="shared" si="1"/>
        <v>-</v>
      </c>
      <c r="Q409" s="39"/>
      <c r="R409" s="39"/>
    </row>
    <row r="410" ht="19.5" customHeight="1">
      <c r="A410" s="34"/>
      <c r="B410" s="35"/>
      <c r="C410" s="35"/>
      <c r="D410" s="3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7" t="str">
        <f t="shared" si="1"/>
        <v>-</v>
      </c>
      <c r="Q410" s="35"/>
      <c r="R410" s="35"/>
    </row>
    <row r="411" ht="19.5" customHeight="1">
      <c r="A411" s="38"/>
      <c r="B411" s="39"/>
      <c r="C411" s="39"/>
      <c r="D411" s="39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1" t="str">
        <f t="shared" si="1"/>
        <v>-</v>
      </c>
      <c r="Q411" s="39"/>
      <c r="R411" s="39"/>
    </row>
    <row r="412" ht="19.5" customHeight="1">
      <c r="A412" s="34"/>
      <c r="B412" s="35"/>
      <c r="C412" s="35"/>
      <c r="D412" s="3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7" t="str">
        <f t="shared" si="1"/>
        <v>-</v>
      </c>
      <c r="Q412" s="35"/>
      <c r="R412" s="35"/>
    </row>
    <row r="413" ht="19.5" customHeight="1">
      <c r="A413" s="38"/>
      <c r="B413" s="39"/>
      <c r="C413" s="39"/>
      <c r="D413" s="39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1" t="str">
        <f t="shared" si="1"/>
        <v>-</v>
      </c>
      <c r="Q413" s="39"/>
      <c r="R413" s="39"/>
    </row>
    <row r="414" ht="19.5" customHeight="1">
      <c r="A414" s="34"/>
      <c r="B414" s="35"/>
      <c r="C414" s="35"/>
      <c r="D414" s="3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7" t="str">
        <f t="shared" si="1"/>
        <v>-</v>
      </c>
      <c r="Q414" s="35"/>
      <c r="R414" s="35"/>
    </row>
    <row r="415" ht="19.5" customHeight="1">
      <c r="A415" s="38"/>
      <c r="B415" s="39"/>
      <c r="C415" s="39"/>
      <c r="D415" s="39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1" t="str">
        <f t="shared" si="1"/>
        <v>-</v>
      </c>
      <c r="Q415" s="39"/>
      <c r="R415" s="39"/>
    </row>
    <row r="416" ht="19.5" customHeight="1">
      <c r="A416" s="34"/>
      <c r="B416" s="35"/>
      <c r="C416" s="35"/>
      <c r="D416" s="3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7" t="str">
        <f t="shared" si="1"/>
        <v>-</v>
      </c>
      <c r="Q416" s="35"/>
      <c r="R416" s="35"/>
    </row>
    <row r="417" ht="19.5" customHeight="1">
      <c r="A417" s="38"/>
      <c r="B417" s="39"/>
      <c r="C417" s="39"/>
      <c r="D417" s="39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1" t="str">
        <f t="shared" si="1"/>
        <v>-</v>
      </c>
      <c r="Q417" s="39"/>
      <c r="R417" s="39"/>
    </row>
    <row r="418" ht="19.5" customHeight="1">
      <c r="A418" s="34"/>
      <c r="B418" s="35"/>
      <c r="C418" s="35"/>
      <c r="D418" s="3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7" t="str">
        <f t="shared" si="1"/>
        <v>-</v>
      </c>
      <c r="Q418" s="35"/>
      <c r="R418" s="35"/>
    </row>
    <row r="419" ht="19.5" customHeight="1">
      <c r="A419" s="38"/>
      <c r="B419" s="39"/>
      <c r="C419" s="39"/>
      <c r="D419" s="39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1" t="str">
        <f t="shared" si="1"/>
        <v>-</v>
      </c>
      <c r="Q419" s="39"/>
      <c r="R419" s="39"/>
    </row>
    <row r="420" ht="19.5" customHeight="1">
      <c r="A420" s="34"/>
      <c r="B420" s="35"/>
      <c r="C420" s="35"/>
      <c r="D420" s="3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7" t="str">
        <f t="shared" si="1"/>
        <v>-</v>
      </c>
      <c r="Q420" s="35"/>
      <c r="R420" s="35"/>
    </row>
    <row r="421" ht="19.5" customHeight="1">
      <c r="A421" s="38"/>
      <c r="B421" s="39"/>
      <c r="C421" s="39"/>
      <c r="D421" s="39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1" t="str">
        <f t="shared" si="1"/>
        <v>-</v>
      </c>
      <c r="Q421" s="39"/>
      <c r="R421" s="39"/>
    </row>
    <row r="422" ht="19.5" customHeight="1">
      <c r="A422" s="34"/>
      <c r="B422" s="35"/>
      <c r="C422" s="35"/>
      <c r="D422" s="3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7" t="str">
        <f t="shared" si="1"/>
        <v>-</v>
      </c>
      <c r="Q422" s="35"/>
      <c r="R422" s="35"/>
    </row>
    <row r="423" ht="19.5" customHeight="1">
      <c r="A423" s="38"/>
      <c r="B423" s="39"/>
      <c r="C423" s="39"/>
      <c r="D423" s="39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1" t="str">
        <f t="shared" si="1"/>
        <v>-</v>
      </c>
      <c r="Q423" s="39"/>
      <c r="R423" s="39"/>
    </row>
    <row r="424" ht="19.5" customHeight="1">
      <c r="A424" s="34"/>
      <c r="B424" s="35"/>
      <c r="C424" s="35"/>
      <c r="D424" s="3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7" t="str">
        <f t="shared" si="1"/>
        <v>-</v>
      </c>
      <c r="Q424" s="35"/>
      <c r="R424" s="35"/>
    </row>
    <row r="425" ht="19.5" customHeight="1">
      <c r="A425" s="38"/>
      <c r="B425" s="39"/>
      <c r="C425" s="39"/>
      <c r="D425" s="39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1" t="str">
        <f t="shared" si="1"/>
        <v>-</v>
      </c>
      <c r="Q425" s="39"/>
      <c r="R425" s="39"/>
    </row>
    <row r="426" ht="19.5" customHeight="1">
      <c r="A426" s="34"/>
      <c r="B426" s="35"/>
      <c r="C426" s="35"/>
      <c r="D426" s="3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7" t="str">
        <f t="shared" si="1"/>
        <v>-</v>
      </c>
      <c r="Q426" s="35"/>
      <c r="R426" s="35"/>
    </row>
    <row r="427" ht="19.5" customHeight="1">
      <c r="A427" s="38"/>
      <c r="B427" s="39"/>
      <c r="C427" s="39"/>
      <c r="D427" s="39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1" t="str">
        <f t="shared" si="1"/>
        <v>-</v>
      </c>
      <c r="Q427" s="39"/>
      <c r="R427" s="39"/>
    </row>
    <row r="428" ht="19.5" customHeight="1">
      <c r="A428" s="34"/>
      <c r="B428" s="35"/>
      <c r="C428" s="35"/>
      <c r="D428" s="3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7" t="str">
        <f t="shared" si="1"/>
        <v>-</v>
      </c>
      <c r="Q428" s="35"/>
      <c r="R428" s="35"/>
    </row>
    <row r="429" ht="19.5" customHeight="1">
      <c r="A429" s="38"/>
      <c r="B429" s="39"/>
      <c r="C429" s="39"/>
      <c r="D429" s="39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1" t="str">
        <f t="shared" si="1"/>
        <v>-</v>
      </c>
      <c r="Q429" s="39"/>
      <c r="R429" s="39"/>
    </row>
    <row r="430" ht="19.5" customHeight="1">
      <c r="A430" s="34"/>
      <c r="B430" s="35"/>
      <c r="C430" s="35"/>
      <c r="D430" s="3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7" t="str">
        <f t="shared" si="1"/>
        <v>-</v>
      </c>
      <c r="Q430" s="35"/>
      <c r="R430" s="35"/>
    </row>
    <row r="431" ht="19.5" customHeight="1">
      <c r="A431" s="38"/>
      <c r="B431" s="39"/>
      <c r="C431" s="39"/>
      <c r="D431" s="39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1" t="str">
        <f t="shared" si="1"/>
        <v>-</v>
      </c>
      <c r="Q431" s="39"/>
      <c r="R431" s="39"/>
    </row>
    <row r="432" ht="19.5" customHeight="1">
      <c r="A432" s="34"/>
      <c r="B432" s="35"/>
      <c r="C432" s="35"/>
      <c r="D432" s="3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7" t="str">
        <f t="shared" si="1"/>
        <v>-</v>
      </c>
      <c r="Q432" s="35"/>
      <c r="R432" s="35"/>
    </row>
    <row r="433" ht="19.5" customHeight="1">
      <c r="A433" s="38"/>
      <c r="B433" s="39"/>
      <c r="C433" s="39"/>
      <c r="D433" s="39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1" t="str">
        <f t="shared" si="1"/>
        <v>-</v>
      </c>
      <c r="Q433" s="39"/>
      <c r="R433" s="39"/>
    </row>
    <row r="434" ht="19.5" customHeight="1">
      <c r="A434" s="34"/>
      <c r="B434" s="35"/>
      <c r="C434" s="35"/>
      <c r="D434" s="3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7" t="str">
        <f t="shared" si="1"/>
        <v>-</v>
      </c>
      <c r="Q434" s="35"/>
      <c r="R434" s="35"/>
    </row>
    <row r="435" ht="19.5" customHeight="1">
      <c r="A435" s="38"/>
      <c r="B435" s="39"/>
      <c r="C435" s="39"/>
      <c r="D435" s="39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1" t="str">
        <f t="shared" si="1"/>
        <v>-</v>
      </c>
      <c r="Q435" s="39"/>
      <c r="R435" s="39"/>
    </row>
    <row r="436" ht="19.5" customHeight="1">
      <c r="A436" s="34"/>
      <c r="B436" s="35"/>
      <c r="C436" s="35"/>
      <c r="D436" s="3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7" t="str">
        <f t="shared" si="1"/>
        <v>-</v>
      </c>
      <c r="Q436" s="35"/>
      <c r="R436" s="35"/>
    </row>
    <row r="437" ht="19.5" customHeight="1">
      <c r="A437" s="38"/>
      <c r="B437" s="39"/>
      <c r="C437" s="39"/>
      <c r="D437" s="39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1" t="str">
        <f t="shared" si="1"/>
        <v>-</v>
      </c>
      <c r="Q437" s="39"/>
      <c r="R437" s="39"/>
    </row>
    <row r="438" ht="19.5" customHeight="1">
      <c r="A438" s="34"/>
      <c r="B438" s="35"/>
      <c r="C438" s="35"/>
      <c r="D438" s="3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7" t="str">
        <f t="shared" si="1"/>
        <v>-</v>
      </c>
      <c r="Q438" s="35"/>
      <c r="R438" s="35"/>
    </row>
    <row r="439" ht="19.5" customHeight="1">
      <c r="A439" s="38"/>
      <c r="B439" s="39"/>
      <c r="C439" s="39"/>
      <c r="D439" s="39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1" t="str">
        <f t="shared" si="1"/>
        <v>-</v>
      </c>
      <c r="Q439" s="39"/>
      <c r="R439" s="39"/>
    </row>
    <row r="440" ht="19.5" customHeight="1">
      <c r="A440" s="34"/>
      <c r="B440" s="35"/>
      <c r="C440" s="35"/>
      <c r="D440" s="3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7" t="str">
        <f t="shared" si="1"/>
        <v>-</v>
      </c>
      <c r="Q440" s="35"/>
      <c r="R440" s="35"/>
    </row>
    <row r="441" ht="19.5" customHeight="1">
      <c r="A441" s="38"/>
      <c r="B441" s="39"/>
      <c r="C441" s="39"/>
      <c r="D441" s="39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1" t="str">
        <f t="shared" si="1"/>
        <v>-</v>
      </c>
      <c r="Q441" s="39"/>
      <c r="R441" s="39"/>
    </row>
    <row r="442" ht="19.5" customHeight="1">
      <c r="A442" s="34"/>
      <c r="B442" s="35"/>
      <c r="C442" s="35"/>
      <c r="D442" s="3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7" t="str">
        <f t="shared" si="1"/>
        <v>-</v>
      </c>
      <c r="Q442" s="35"/>
      <c r="R442" s="35"/>
    </row>
    <row r="443" ht="19.5" customHeight="1">
      <c r="A443" s="38"/>
      <c r="B443" s="39"/>
      <c r="C443" s="39"/>
      <c r="D443" s="39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1" t="str">
        <f t="shared" si="1"/>
        <v>-</v>
      </c>
      <c r="Q443" s="39"/>
      <c r="R443" s="39"/>
    </row>
    <row r="444" ht="19.5" customHeight="1">
      <c r="A444" s="34"/>
      <c r="B444" s="35"/>
      <c r="C444" s="35"/>
      <c r="D444" s="3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7" t="str">
        <f t="shared" si="1"/>
        <v>-</v>
      </c>
      <c r="Q444" s="35"/>
      <c r="R444" s="35"/>
    </row>
    <row r="445" ht="19.5" customHeight="1">
      <c r="A445" s="38"/>
      <c r="B445" s="39"/>
      <c r="C445" s="39"/>
      <c r="D445" s="39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1" t="str">
        <f t="shared" si="1"/>
        <v>-</v>
      </c>
      <c r="Q445" s="39"/>
      <c r="R445" s="39"/>
    </row>
    <row r="446" ht="19.5" customHeight="1">
      <c r="A446" s="34"/>
      <c r="B446" s="35"/>
      <c r="C446" s="35"/>
      <c r="D446" s="3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7" t="str">
        <f t="shared" si="1"/>
        <v>-</v>
      </c>
      <c r="Q446" s="35"/>
      <c r="R446" s="35"/>
    </row>
    <row r="447" ht="19.5" customHeight="1">
      <c r="A447" s="38"/>
      <c r="B447" s="39"/>
      <c r="C447" s="39"/>
      <c r="D447" s="39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1" t="str">
        <f t="shared" si="1"/>
        <v>-</v>
      </c>
      <c r="Q447" s="39"/>
      <c r="R447" s="39"/>
    </row>
    <row r="448" ht="19.5" customHeight="1">
      <c r="A448" s="34"/>
      <c r="B448" s="35"/>
      <c r="C448" s="35"/>
      <c r="D448" s="3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7" t="str">
        <f t="shared" si="1"/>
        <v>-</v>
      </c>
      <c r="Q448" s="35"/>
      <c r="R448" s="35"/>
    </row>
    <row r="449" ht="19.5" customHeight="1">
      <c r="A449" s="38"/>
      <c r="B449" s="39"/>
      <c r="C449" s="39"/>
      <c r="D449" s="39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1" t="str">
        <f t="shared" si="1"/>
        <v>-</v>
      </c>
      <c r="Q449" s="39"/>
      <c r="R449" s="39"/>
    </row>
    <row r="450" ht="19.5" customHeight="1">
      <c r="A450" s="34"/>
      <c r="B450" s="35"/>
      <c r="C450" s="35"/>
      <c r="D450" s="3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7" t="str">
        <f t="shared" si="1"/>
        <v>-</v>
      </c>
      <c r="Q450" s="35"/>
      <c r="R450" s="35"/>
    </row>
    <row r="451" ht="19.5" customHeight="1">
      <c r="A451" s="38"/>
      <c r="B451" s="39"/>
      <c r="C451" s="39"/>
      <c r="D451" s="39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1" t="str">
        <f t="shared" si="1"/>
        <v>-</v>
      </c>
      <c r="Q451" s="39"/>
      <c r="R451" s="39"/>
    </row>
    <row r="452" ht="19.5" customHeight="1">
      <c r="A452" s="34"/>
      <c r="B452" s="35"/>
      <c r="C452" s="35"/>
      <c r="D452" s="3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7" t="str">
        <f t="shared" si="1"/>
        <v>-</v>
      </c>
      <c r="Q452" s="35"/>
      <c r="R452" s="35"/>
    </row>
    <row r="453" ht="19.5" customHeight="1">
      <c r="A453" s="38"/>
      <c r="B453" s="39"/>
      <c r="C453" s="39"/>
      <c r="D453" s="39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1" t="str">
        <f t="shared" si="1"/>
        <v>-</v>
      </c>
      <c r="Q453" s="39"/>
      <c r="R453" s="39"/>
    </row>
    <row r="454" ht="19.5" customHeight="1">
      <c r="A454" s="34"/>
      <c r="B454" s="35"/>
      <c r="C454" s="35"/>
      <c r="D454" s="3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7" t="str">
        <f t="shared" si="1"/>
        <v>-</v>
      </c>
      <c r="Q454" s="35"/>
      <c r="R454" s="35"/>
    </row>
    <row r="455" ht="19.5" customHeight="1">
      <c r="A455" s="38"/>
      <c r="B455" s="39"/>
      <c r="C455" s="39"/>
      <c r="D455" s="39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1" t="str">
        <f t="shared" si="1"/>
        <v>-</v>
      </c>
      <c r="Q455" s="39"/>
      <c r="R455" s="39"/>
    </row>
    <row r="456" ht="19.5" customHeight="1">
      <c r="A456" s="34"/>
      <c r="B456" s="35"/>
      <c r="C456" s="35"/>
      <c r="D456" s="3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7" t="str">
        <f t="shared" si="1"/>
        <v>-</v>
      </c>
      <c r="Q456" s="35"/>
      <c r="R456" s="35"/>
    </row>
    <row r="457" ht="19.5" customHeight="1">
      <c r="A457" s="38"/>
      <c r="B457" s="39"/>
      <c r="C457" s="39"/>
      <c r="D457" s="39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1" t="str">
        <f t="shared" si="1"/>
        <v>-</v>
      </c>
      <c r="Q457" s="39"/>
      <c r="R457" s="39"/>
    </row>
    <row r="458" ht="19.5" customHeight="1">
      <c r="A458" s="34"/>
      <c r="B458" s="35"/>
      <c r="C458" s="35"/>
      <c r="D458" s="3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7" t="str">
        <f t="shared" si="1"/>
        <v>-</v>
      </c>
      <c r="Q458" s="35"/>
      <c r="R458" s="35"/>
    </row>
    <row r="459" ht="19.5" customHeight="1">
      <c r="A459" s="38"/>
      <c r="B459" s="39"/>
      <c r="C459" s="39"/>
      <c r="D459" s="39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1" t="str">
        <f t="shared" si="1"/>
        <v>-</v>
      </c>
      <c r="Q459" s="39"/>
      <c r="R459" s="39"/>
    </row>
    <row r="460" ht="19.5" customHeight="1">
      <c r="A460" s="34"/>
      <c r="B460" s="35"/>
      <c r="C460" s="35"/>
      <c r="D460" s="3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7" t="str">
        <f t="shared" si="1"/>
        <v>-</v>
      </c>
      <c r="Q460" s="35"/>
      <c r="R460" s="35"/>
    </row>
    <row r="461" ht="19.5" customHeight="1">
      <c r="A461" s="38"/>
      <c r="B461" s="39"/>
      <c r="C461" s="39"/>
      <c r="D461" s="39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1" t="str">
        <f t="shared" si="1"/>
        <v>-</v>
      </c>
      <c r="Q461" s="39"/>
      <c r="R461" s="39"/>
    </row>
    <row r="462" ht="19.5" customHeight="1">
      <c r="A462" s="34"/>
      <c r="B462" s="35"/>
      <c r="C462" s="35"/>
      <c r="D462" s="3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7" t="str">
        <f t="shared" si="1"/>
        <v>-</v>
      </c>
      <c r="Q462" s="35"/>
      <c r="R462" s="35"/>
    </row>
    <row r="463" ht="19.5" customHeight="1">
      <c r="A463" s="38"/>
      <c r="B463" s="39"/>
      <c r="C463" s="39"/>
      <c r="D463" s="39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1" t="str">
        <f t="shared" si="1"/>
        <v>-</v>
      </c>
      <c r="Q463" s="39"/>
      <c r="R463" s="39"/>
    </row>
    <row r="464" ht="19.5" customHeight="1">
      <c r="A464" s="34"/>
      <c r="B464" s="35"/>
      <c r="C464" s="35"/>
      <c r="D464" s="3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7" t="str">
        <f t="shared" si="1"/>
        <v>-</v>
      </c>
      <c r="Q464" s="35"/>
      <c r="R464" s="35"/>
    </row>
    <row r="465" ht="19.5" customHeight="1">
      <c r="A465" s="38"/>
      <c r="B465" s="39"/>
      <c r="C465" s="39"/>
      <c r="D465" s="39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1" t="str">
        <f t="shared" si="1"/>
        <v>-</v>
      </c>
      <c r="Q465" s="39"/>
      <c r="R465" s="39"/>
    </row>
    <row r="466" ht="19.5" customHeight="1">
      <c r="A466" s="34"/>
      <c r="B466" s="35"/>
      <c r="C466" s="35"/>
      <c r="D466" s="3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7" t="str">
        <f t="shared" si="1"/>
        <v>-</v>
      </c>
      <c r="Q466" s="35"/>
      <c r="R466" s="35"/>
    </row>
    <row r="467" ht="19.5" customHeight="1">
      <c r="A467" s="38"/>
      <c r="B467" s="39"/>
      <c r="C467" s="39"/>
      <c r="D467" s="39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1" t="str">
        <f t="shared" si="1"/>
        <v>-</v>
      </c>
      <c r="Q467" s="39"/>
      <c r="R467" s="39"/>
    </row>
    <row r="468" ht="19.5" customHeight="1">
      <c r="A468" s="34"/>
      <c r="B468" s="35"/>
      <c r="C468" s="35"/>
      <c r="D468" s="3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7" t="str">
        <f t="shared" si="1"/>
        <v>-</v>
      </c>
      <c r="Q468" s="35"/>
      <c r="R468" s="35"/>
    </row>
    <row r="469" ht="19.5" customHeight="1">
      <c r="A469" s="38"/>
      <c r="B469" s="39"/>
      <c r="C469" s="39"/>
      <c r="D469" s="39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1" t="str">
        <f t="shared" si="1"/>
        <v>-</v>
      </c>
      <c r="Q469" s="39"/>
      <c r="R469" s="39"/>
    </row>
    <row r="470" ht="19.5" customHeight="1">
      <c r="A470" s="34"/>
      <c r="B470" s="35"/>
      <c r="C470" s="35"/>
      <c r="D470" s="3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7" t="str">
        <f t="shared" si="1"/>
        <v>-</v>
      </c>
      <c r="Q470" s="35"/>
      <c r="R470" s="35"/>
    </row>
    <row r="471" ht="19.5" customHeight="1">
      <c r="A471" s="38"/>
      <c r="B471" s="39"/>
      <c r="C471" s="39"/>
      <c r="D471" s="39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1" t="str">
        <f t="shared" si="1"/>
        <v>-</v>
      </c>
      <c r="Q471" s="39"/>
      <c r="R471" s="39"/>
    </row>
    <row r="472" ht="19.5" customHeight="1">
      <c r="A472" s="34"/>
      <c r="B472" s="35"/>
      <c r="C472" s="35"/>
      <c r="D472" s="3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7" t="str">
        <f t="shared" si="1"/>
        <v>-</v>
      </c>
      <c r="Q472" s="35"/>
      <c r="R472" s="35"/>
    </row>
    <row r="473" ht="19.5" customHeight="1">
      <c r="A473" s="38"/>
      <c r="B473" s="39"/>
      <c r="C473" s="39"/>
      <c r="D473" s="39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1" t="str">
        <f t="shared" si="1"/>
        <v>-</v>
      </c>
      <c r="Q473" s="39"/>
      <c r="R473" s="39"/>
    </row>
    <row r="474" ht="19.5" customHeight="1">
      <c r="A474" s="34"/>
      <c r="B474" s="35"/>
      <c r="C474" s="35"/>
      <c r="D474" s="3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7" t="str">
        <f t="shared" si="1"/>
        <v>-</v>
      </c>
      <c r="Q474" s="35"/>
      <c r="R474" s="35"/>
    </row>
    <row r="475" ht="19.5" customHeight="1">
      <c r="A475" s="38"/>
      <c r="B475" s="39"/>
      <c r="C475" s="39"/>
      <c r="D475" s="39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1" t="str">
        <f t="shared" si="1"/>
        <v>-</v>
      </c>
      <c r="Q475" s="39"/>
      <c r="R475" s="39"/>
    </row>
    <row r="476" ht="19.5" customHeight="1">
      <c r="A476" s="34"/>
      <c r="B476" s="35"/>
      <c r="C476" s="35"/>
      <c r="D476" s="3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7" t="str">
        <f t="shared" si="1"/>
        <v>-</v>
      </c>
      <c r="Q476" s="35"/>
      <c r="R476" s="35"/>
    </row>
    <row r="477" ht="19.5" customHeight="1">
      <c r="A477" s="38"/>
      <c r="B477" s="39"/>
      <c r="C477" s="39"/>
      <c r="D477" s="39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1" t="str">
        <f t="shared" si="1"/>
        <v>-</v>
      </c>
      <c r="Q477" s="39"/>
      <c r="R477" s="39"/>
    </row>
    <row r="478" ht="19.5" customHeight="1">
      <c r="A478" s="34"/>
      <c r="B478" s="35"/>
      <c r="C478" s="35"/>
      <c r="D478" s="3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7" t="str">
        <f t="shared" si="1"/>
        <v>-</v>
      </c>
      <c r="Q478" s="35"/>
      <c r="R478" s="35"/>
    </row>
    <row r="479" ht="19.5" customHeight="1">
      <c r="A479" s="38"/>
      <c r="B479" s="39"/>
      <c r="C479" s="39"/>
      <c r="D479" s="39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1" t="str">
        <f t="shared" si="1"/>
        <v>-</v>
      </c>
      <c r="Q479" s="39"/>
      <c r="R479" s="39"/>
    </row>
    <row r="480" ht="19.5" customHeight="1">
      <c r="A480" s="34"/>
      <c r="B480" s="35"/>
      <c r="C480" s="35"/>
      <c r="D480" s="3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7" t="str">
        <f t="shared" si="1"/>
        <v>-</v>
      </c>
      <c r="Q480" s="35"/>
      <c r="R480" s="35"/>
    </row>
    <row r="481" ht="19.5" customHeight="1">
      <c r="A481" s="38"/>
      <c r="B481" s="39"/>
      <c r="C481" s="39"/>
      <c r="D481" s="39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1" t="str">
        <f t="shared" si="1"/>
        <v>-</v>
      </c>
      <c r="Q481" s="39"/>
      <c r="R481" s="39"/>
    </row>
    <row r="482" ht="19.5" customHeight="1">
      <c r="A482" s="34"/>
      <c r="B482" s="35"/>
      <c r="C482" s="35"/>
      <c r="D482" s="3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7" t="str">
        <f t="shared" si="1"/>
        <v>-</v>
      </c>
      <c r="Q482" s="35"/>
      <c r="R482" s="35"/>
    </row>
    <row r="483" ht="19.5" customHeight="1">
      <c r="A483" s="38"/>
      <c r="B483" s="39"/>
      <c r="C483" s="39"/>
      <c r="D483" s="39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1" t="str">
        <f t="shared" si="1"/>
        <v>-</v>
      </c>
      <c r="Q483" s="39"/>
      <c r="R483" s="39"/>
    </row>
    <row r="484" ht="19.5" customHeight="1">
      <c r="A484" s="34"/>
      <c r="B484" s="35"/>
      <c r="C484" s="35"/>
      <c r="D484" s="3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7" t="str">
        <f t="shared" si="1"/>
        <v>-</v>
      </c>
      <c r="Q484" s="35"/>
      <c r="R484" s="35"/>
    </row>
    <row r="485" ht="19.5" customHeight="1">
      <c r="A485" s="38"/>
      <c r="B485" s="39"/>
      <c r="C485" s="39"/>
      <c r="D485" s="39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1" t="str">
        <f t="shared" si="1"/>
        <v>-</v>
      </c>
      <c r="Q485" s="39"/>
      <c r="R485" s="39"/>
    </row>
    <row r="486" ht="19.5" customHeight="1">
      <c r="A486" s="34"/>
      <c r="B486" s="35"/>
      <c r="C486" s="35"/>
      <c r="D486" s="3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7" t="str">
        <f t="shared" si="1"/>
        <v>-</v>
      </c>
      <c r="Q486" s="35"/>
      <c r="R486" s="35"/>
    </row>
    <row r="487" ht="19.5" customHeight="1">
      <c r="A487" s="38"/>
      <c r="B487" s="39"/>
      <c r="C487" s="39"/>
      <c r="D487" s="39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1" t="str">
        <f t="shared" si="1"/>
        <v>-</v>
      </c>
      <c r="Q487" s="39"/>
      <c r="R487" s="39"/>
    </row>
    <row r="488" ht="19.5" customHeight="1">
      <c r="A488" s="34"/>
      <c r="B488" s="35"/>
      <c r="C488" s="35"/>
      <c r="D488" s="3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7" t="str">
        <f t="shared" si="1"/>
        <v>-</v>
      </c>
      <c r="Q488" s="35"/>
      <c r="R488" s="35"/>
    </row>
    <row r="489" ht="19.5" customHeight="1">
      <c r="A489" s="38"/>
      <c r="B489" s="39"/>
      <c r="C489" s="39"/>
      <c r="D489" s="39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1" t="str">
        <f t="shared" si="1"/>
        <v>-</v>
      </c>
      <c r="Q489" s="39"/>
      <c r="R489" s="39"/>
    </row>
    <row r="490" ht="19.5" customHeight="1">
      <c r="A490" s="34"/>
      <c r="B490" s="35"/>
      <c r="C490" s="35"/>
      <c r="D490" s="3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7" t="str">
        <f t="shared" si="1"/>
        <v>-</v>
      </c>
      <c r="Q490" s="35"/>
      <c r="R490" s="35"/>
    </row>
    <row r="491" ht="19.5" customHeight="1">
      <c r="A491" s="38"/>
      <c r="B491" s="39"/>
      <c r="C491" s="39"/>
      <c r="D491" s="39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1" t="str">
        <f t="shared" si="1"/>
        <v>-</v>
      </c>
      <c r="Q491" s="39"/>
      <c r="R491" s="39"/>
    </row>
    <row r="492" ht="19.5" customHeight="1">
      <c r="A492" s="34"/>
      <c r="B492" s="35"/>
      <c r="C492" s="35"/>
      <c r="D492" s="3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7" t="str">
        <f t="shared" si="1"/>
        <v>-</v>
      </c>
      <c r="Q492" s="35"/>
      <c r="R492" s="35"/>
    </row>
    <row r="493" ht="19.5" customHeight="1">
      <c r="A493" s="38"/>
      <c r="B493" s="39"/>
      <c r="C493" s="39"/>
      <c r="D493" s="39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1" t="str">
        <f t="shared" si="1"/>
        <v>-</v>
      </c>
      <c r="Q493" s="39"/>
      <c r="R493" s="39"/>
    </row>
    <row r="494" ht="19.5" customHeight="1">
      <c r="A494" s="34"/>
      <c r="B494" s="35"/>
      <c r="C494" s="35"/>
      <c r="D494" s="3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7" t="str">
        <f t="shared" si="1"/>
        <v>-</v>
      </c>
      <c r="Q494" s="35"/>
      <c r="R494" s="35"/>
    </row>
    <row r="495" ht="19.5" customHeight="1">
      <c r="A495" s="38"/>
      <c r="B495" s="39"/>
      <c r="C495" s="39"/>
      <c r="D495" s="39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1" t="str">
        <f t="shared" si="1"/>
        <v>-</v>
      </c>
      <c r="Q495" s="39"/>
      <c r="R495" s="39"/>
    </row>
    <row r="496" ht="19.5" customHeight="1">
      <c r="A496" s="34"/>
      <c r="B496" s="35"/>
      <c r="C496" s="35"/>
      <c r="D496" s="3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7" t="str">
        <f t="shared" si="1"/>
        <v>-</v>
      </c>
      <c r="Q496" s="35"/>
      <c r="R496" s="35"/>
    </row>
    <row r="497" ht="19.5" customHeight="1">
      <c r="A497" s="38"/>
      <c r="B497" s="39"/>
      <c r="C497" s="39"/>
      <c r="D497" s="39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1" t="str">
        <f t="shared" si="1"/>
        <v>-</v>
      </c>
      <c r="Q497" s="39"/>
      <c r="R497" s="39"/>
    </row>
    <row r="498" ht="19.5" customHeight="1">
      <c r="A498" s="34"/>
      <c r="B498" s="35"/>
      <c r="C498" s="35"/>
      <c r="D498" s="3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7" t="str">
        <f t="shared" si="1"/>
        <v>-</v>
      </c>
      <c r="Q498" s="35"/>
      <c r="R498" s="35"/>
    </row>
    <row r="499" ht="19.5" customHeight="1">
      <c r="A499" s="38"/>
      <c r="B499" s="39"/>
      <c r="C499" s="39"/>
      <c r="D499" s="39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1" t="str">
        <f t="shared" si="1"/>
        <v>-</v>
      </c>
      <c r="Q499" s="39"/>
      <c r="R499" s="39"/>
    </row>
    <row r="500" ht="19.5" customHeight="1">
      <c r="A500" s="34"/>
      <c r="B500" s="35"/>
      <c r="C500" s="35"/>
      <c r="D500" s="3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7" t="str">
        <f t="shared" si="1"/>
        <v>-</v>
      </c>
      <c r="Q500" s="35"/>
      <c r="R500" s="35"/>
    </row>
    <row r="501" ht="19.5" customHeight="1">
      <c r="A501" s="38"/>
      <c r="B501" s="39"/>
      <c r="C501" s="39"/>
      <c r="D501" s="39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1" t="str">
        <f t="shared" si="1"/>
        <v>-</v>
      </c>
      <c r="Q501" s="39"/>
      <c r="R501" s="39"/>
    </row>
    <row r="502" ht="19.5" customHeight="1">
      <c r="A502" s="34"/>
      <c r="B502" s="35"/>
      <c r="C502" s="35"/>
      <c r="D502" s="3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7" t="str">
        <f t="shared" si="1"/>
        <v>-</v>
      </c>
      <c r="Q502" s="35"/>
      <c r="R502" s="35"/>
    </row>
    <row r="503" ht="19.5" customHeight="1">
      <c r="A503" s="38"/>
      <c r="B503" s="39"/>
      <c r="C503" s="39"/>
      <c r="D503" s="39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1" t="str">
        <f t="shared" si="1"/>
        <v>-</v>
      </c>
      <c r="Q503" s="39"/>
      <c r="R503" s="39"/>
    </row>
    <row r="504" ht="19.5" customHeight="1">
      <c r="A504" s="34"/>
      <c r="B504" s="35"/>
      <c r="C504" s="35"/>
      <c r="D504" s="3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7" t="str">
        <f t="shared" si="1"/>
        <v>-</v>
      </c>
      <c r="Q504" s="35"/>
      <c r="R504" s="35"/>
    </row>
    <row r="505" ht="19.5" customHeight="1">
      <c r="A505" s="38"/>
      <c r="B505" s="39"/>
      <c r="C505" s="39"/>
      <c r="D505" s="39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1" t="str">
        <f t="shared" si="1"/>
        <v>-</v>
      </c>
      <c r="Q505" s="39"/>
      <c r="R505" s="39"/>
    </row>
    <row r="506" ht="19.5" customHeight="1">
      <c r="A506" s="34"/>
      <c r="B506" s="35"/>
      <c r="C506" s="35"/>
      <c r="D506" s="3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7" t="str">
        <f t="shared" si="1"/>
        <v>-</v>
      </c>
      <c r="Q506" s="35"/>
      <c r="R506" s="35"/>
    </row>
    <row r="507" ht="19.5" customHeight="1">
      <c r="A507" s="38"/>
      <c r="B507" s="39"/>
      <c r="C507" s="39"/>
      <c r="D507" s="39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1" t="str">
        <f t="shared" si="1"/>
        <v>-</v>
      </c>
      <c r="Q507" s="39"/>
      <c r="R507" s="39"/>
    </row>
    <row r="508" ht="19.5" customHeight="1">
      <c r="A508" s="34"/>
      <c r="B508" s="35"/>
      <c r="C508" s="35"/>
      <c r="D508" s="3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7" t="str">
        <f t="shared" si="1"/>
        <v>-</v>
      </c>
      <c r="Q508" s="35"/>
      <c r="R508" s="35"/>
    </row>
    <row r="509" ht="19.5" customHeight="1">
      <c r="A509" s="38"/>
      <c r="B509" s="39"/>
      <c r="C509" s="39"/>
      <c r="D509" s="39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1" t="str">
        <f t="shared" si="1"/>
        <v>-</v>
      </c>
      <c r="Q509" s="39"/>
      <c r="R509" s="39"/>
    </row>
    <row r="510" ht="19.5" customHeight="1">
      <c r="A510" s="34"/>
      <c r="B510" s="35"/>
      <c r="C510" s="35"/>
      <c r="D510" s="3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7" t="str">
        <f t="shared" si="1"/>
        <v>-</v>
      </c>
      <c r="Q510" s="35"/>
      <c r="R510" s="35"/>
    </row>
    <row r="511" ht="19.5" customHeight="1">
      <c r="A511" s="38"/>
      <c r="B511" s="39"/>
      <c r="C511" s="39"/>
      <c r="D511" s="39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1" t="str">
        <f t="shared" si="1"/>
        <v>-</v>
      </c>
      <c r="Q511" s="39"/>
      <c r="R511" s="39"/>
    </row>
    <row r="512" ht="19.5" customHeight="1">
      <c r="A512" s="34"/>
      <c r="B512" s="35"/>
      <c r="C512" s="35"/>
      <c r="D512" s="3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7" t="str">
        <f t="shared" si="1"/>
        <v>-</v>
      </c>
      <c r="Q512" s="35"/>
      <c r="R512" s="35"/>
    </row>
    <row r="513" ht="19.5" customHeight="1">
      <c r="A513" s="38"/>
      <c r="B513" s="39"/>
      <c r="C513" s="39"/>
      <c r="D513" s="39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1" t="str">
        <f t="shared" si="1"/>
        <v>-</v>
      </c>
      <c r="Q513" s="39"/>
      <c r="R513" s="39"/>
    </row>
    <row r="514" ht="19.5" customHeight="1">
      <c r="A514" s="34"/>
      <c r="B514" s="35"/>
      <c r="C514" s="35"/>
      <c r="D514" s="3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7" t="str">
        <f t="shared" si="1"/>
        <v>-</v>
      </c>
      <c r="Q514" s="35"/>
      <c r="R514" s="35"/>
    </row>
    <row r="515" ht="19.5" customHeight="1">
      <c r="A515" s="38"/>
      <c r="B515" s="39"/>
      <c r="C515" s="39"/>
      <c r="D515" s="39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1" t="str">
        <f t="shared" si="1"/>
        <v>-</v>
      </c>
      <c r="Q515" s="39"/>
      <c r="R515" s="39"/>
    </row>
    <row r="516" ht="19.5" customHeight="1">
      <c r="A516" s="34"/>
      <c r="B516" s="35"/>
      <c r="C516" s="35"/>
      <c r="D516" s="3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7" t="str">
        <f t="shared" si="1"/>
        <v>-</v>
      </c>
      <c r="Q516" s="35"/>
      <c r="R516" s="35"/>
    </row>
    <row r="517" ht="19.5" customHeight="1">
      <c r="A517" s="38"/>
      <c r="B517" s="39"/>
      <c r="C517" s="39"/>
      <c r="D517" s="39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1" t="str">
        <f t="shared" si="1"/>
        <v>-</v>
      </c>
      <c r="Q517" s="39"/>
      <c r="R517" s="39"/>
    </row>
    <row r="518" ht="19.5" customHeight="1">
      <c r="A518" s="34"/>
      <c r="B518" s="35"/>
      <c r="C518" s="35"/>
      <c r="D518" s="3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7" t="str">
        <f t="shared" si="1"/>
        <v>-</v>
      </c>
      <c r="Q518" s="35"/>
      <c r="R518" s="35"/>
    </row>
    <row r="519" ht="19.5" customHeight="1">
      <c r="A519" s="38"/>
      <c r="B519" s="39"/>
      <c r="C519" s="39"/>
      <c r="D519" s="39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1" t="str">
        <f t="shared" si="1"/>
        <v>-</v>
      </c>
      <c r="Q519" s="39"/>
      <c r="R519" s="39"/>
    </row>
    <row r="520" ht="19.5" customHeight="1">
      <c r="A520" s="34"/>
      <c r="B520" s="35"/>
      <c r="C520" s="35"/>
      <c r="D520" s="3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7" t="str">
        <f t="shared" si="1"/>
        <v>-</v>
      </c>
      <c r="Q520" s="35"/>
      <c r="R520" s="35"/>
    </row>
    <row r="521" ht="19.5" customHeight="1">
      <c r="A521" s="38"/>
      <c r="B521" s="39"/>
      <c r="C521" s="39"/>
      <c r="D521" s="39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1" t="str">
        <f t="shared" si="1"/>
        <v>-</v>
      </c>
      <c r="Q521" s="39"/>
      <c r="R521" s="39"/>
    </row>
    <row r="522" ht="19.5" customHeight="1">
      <c r="A522" s="34"/>
      <c r="B522" s="35"/>
      <c r="C522" s="35"/>
      <c r="D522" s="3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7" t="str">
        <f t="shared" si="1"/>
        <v>-</v>
      </c>
      <c r="Q522" s="35"/>
      <c r="R522" s="35"/>
    </row>
    <row r="523" ht="19.5" customHeight="1">
      <c r="A523" s="38"/>
      <c r="B523" s="39"/>
      <c r="C523" s="39"/>
      <c r="D523" s="39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1" t="str">
        <f t="shared" si="1"/>
        <v>-</v>
      </c>
      <c r="Q523" s="39"/>
      <c r="R523" s="39"/>
    </row>
    <row r="524" ht="19.5" customHeight="1">
      <c r="A524" s="34"/>
      <c r="B524" s="35"/>
      <c r="C524" s="35"/>
      <c r="D524" s="3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7" t="str">
        <f t="shared" si="1"/>
        <v>-</v>
      </c>
      <c r="Q524" s="35"/>
      <c r="R524" s="35"/>
    </row>
    <row r="525" ht="19.5" customHeight="1">
      <c r="A525" s="38"/>
      <c r="B525" s="39"/>
      <c r="C525" s="39"/>
      <c r="D525" s="39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1" t="str">
        <f t="shared" si="1"/>
        <v>-</v>
      </c>
      <c r="Q525" s="39"/>
      <c r="R525" s="39"/>
    </row>
    <row r="526" ht="19.5" customHeight="1">
      <c r="A526" s="34"/>
      <c r="B526" s="35"/>
      <c r="C526" s="35"/>
      <c r="D526" s="3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7" t="str">
        <f t="shared" si="1"/>
        <v>-</v>
      </c>
      <c r="Q526" s="35"/>
      <c r="R526" s="35"/>
    </row>
    <row r="527" ht="19.5" customHeight="1">
      <c r="A527" s="38"/>
      <c r="B527" s="39"/>
      <c r="C527" s="39"/>
      <c r="D527" s="39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1" t="str">
        <f t="shared" si="1"/>
        <v>-</v>
      </c>
      <c r="Q527" s="39"/>
      <c r="R527" s="39"/>
    </row>
    <row r="528" ht="19.5" customHeight="1">
      <c r="A528" s="34"/>
      <c r="B528" s="35"/>
      <c r="C528" s="35"/>
      <c r="D528" s="3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7" t="str">
        <f t="shared" si="1"/>
        <v>-</v>
      </c>
      <c r="Q528" s="35"/>
      <c r="R528" s="35"/>
    </row>
    <row r="529" ht="19.5" customHeight="1">
      <c r="A529" s="38"/>
      <c r="B529" s="39"/>
      <c r="C529" s="39"/>
      <c r="D529" s="39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1" t="str">
        <f t="shared" si="1"/>
        <v>-</v>
      </c>
      <c r="Q529" s="39"/>
      <c r="R529" s="39"/>
    </row>
    <row r="530" ht="19.5" customHeight="1">
      <c r="A530" s="34"/>
      <c r="B530" s="35"/>
      <c r="C530" s="35"/>
      <c r="D530" s="3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7" t="str">
        <f t="shared" si="1"/>
        <v>-</v>
      </c>
      <c r="Q530" s="35"/>
      <c r="R530" s="35"/>
    </row>
    <row r="531" ht="19.5" customHeight="1">
      <c r="A531" s="38"/>
      <c r="B531" s="39"/>
      <c r="C531" s="39"/>
      <c r="D531" s="39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1" t="str">
        <f t="shared" si="1"/>
        <v>-</v>
      </c>
      <c r="Q531" s="39"/>
      <c r="R531" s="39"/>
    </row>
    <row r="532" ht="19.5" customHeight="1">
      <c r="A532" s="34"/>
      <c r="B532" s="35"/>
      <c r="C532" s="35"/>
      <c r="D532" s="3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7" t="str">
        <f t="shared" si="1"/>
        <v>-</v>
      </c>
      <c r="Q532" s="35"/>
      <c r="R532" s="35"/>
    </row>
    <row r="533" ht="19.5" customHeight="1">
      <c r="A533" s="38"/>
      <c r="B533" s="39"/>
      <c r="C533" s="39"/>
      <c r="D533" s="39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1" t="str">
        <f t="shared" si="1"/>
        <v>-</v>
      </c>
      <c r="Q533" s="39"/>
      <c r="R533" s="39"/>
    </row>
    <row r="534" ht="19.5" customHeight="1">
      <c r="A534" s="34"/>
      <c r="B534" s="35"/>
      <c r="C534" s="35"/>
      <c r="D534" s="3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7" t="str">
        <f t="shared" si="1"/>
        <v>-</v>
      </c>
      <c r="Q534" s="35"/>
      <c r="R534" s="35"/>
    </row>
    <row r="535" ht="19.5" customHeight="1">
      <c r="A535" s="38"/>
      <c r="B535" s="39"/>
      <c r="C535" s="39"/>
      <c r="D535" s="39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1" t="str">
        <f t="shared" si="1"/>
        <v>-</v>
      </c>
      <c r="Q535" s="39"/>
      <c r="R535" s="39"/>
    </row>
    <row r="536" ht="19.5" customHeight="1">
      <c r="A536" s="34"/>
      <c r="B536" s="35"/>
      <c r="C536" s="35"/>
      <c r="D536" s="3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7" t="str">
        <f t="shared" si="1"/>
        <v>-</v>
      </c>
      <c r="Q536" s="35"/>
      <c r="R536" s="35"/>
    </row>
    <row r="537" ht="19.5" customHeight="1">
      <c r="A537" s="38"/>
      <c r="B537" s="39"/>
      <c r="C537" s="39"/>
      <c r="D537" s="39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1" t="str">
        <f t="shared" si="1"/>
        <v>-</v>
      </c>
      <c r="Q537" s="39"/>
      <c r="R537" s="39"/>
    </row>
    <row r="538" ht="19.5" customHeight="1">
      <c r="A538" s="34"/>
      <c r="B538" s="35"/>
      <c r="C538" s="35"/>
      <c r="D538" s="3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7" t="str">
        <f t="shared" si="1"/>
        <v>-</v>
      </c>
      <c r="Q538" s="35"/>
      <c r="R538" s="35"/>
    </row>
    <row r="539" ht="19.5" customHeight="1">
      <c r="A539" s="38"/>
      <c r="B539" s="39"/>
      <c r="C539" s="39"/>
      <c r="D539" s="39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1" t="str">
        <f t="shared" si="1"/>
        <v>-</v>
      </c>
      <c r="Q539" s="39"/>
      <c r="R539" s="39"/>
    </row>
    <row r="540" ht="19.5" customHeight="1">
      <c r="A540" s="34"/>
      <c r="B540" s="35"/>
      <c r="C540" s="35"/>
      <c r="D540" s="3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7" t="str">
        <f t="shared" si="1"/>
        <v>-</v>
      </c>
      <c r="Q540" s="35"/>
      <c r="R540" s="35"/>
    </row>
    <row r="541" ht="19.5" customHeight="1">
      <c r="A541" s="38"/>
      <c r="B541" s="39"/>
      <c r="C541" s="39"/>
      <c r="D541" s="39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1" t="str">
        <f t="shared" si="1"/>
        <v>-</v>
      </c>
      <c r="Q541" s="39"/>
      <c r="R541" s="39"/>
    </row>
    <row r="542" ht="19.5" customHeight="1">
      <c r="A542" s="34"/>
      <c r="B542" s="35"/>
      <c r="C542" s="35"/>
      <c r="D542" s="3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7" t="str">
        <f t="shared" si="1"/>
        <v>-</v>
      </c>
      <c r="Q542" s="35"/>
      <c r="R542" s="35"/>
    </row>
    <row r="543" ht="19.5" customHeight="1">
      <c r="A543" s="38"/>
      <c r="B543" s="39"/>
      <c r="C543" s="39"/>
      <c r="D543" s="39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1" t="str">
        <f t="shared" si="1"/>
        <v>-</v>
      </c>
      <c r="Q543" s="39"/>
      <c r="R543" s="39"/>
    </row>
    <row r="544" ht="19.5" customHeight="1">
      <c r="A544" s="34"/>
      <c r="B544" s="35"/>
      <c r="C544" s="35"/>
      <c r="D544" s="3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7" t="str">
        <f t="shared" si="1"/>
        <v>-</v>
      </c>
      <c r="Q544" s="35"/>
      <c r="R544" s="35"/>
    </row>
    <row r="545" ht="19.5" customHeight="1">
      <c r="A545" s="38"/>
      <c r="B545" s="39"/>
      <c r="C545" s="39"/>
      <c r="D545" s="39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1" t="str">
        <f t="shared" si="1"/>
        <v>-</v>
      </c>
      <c r="Q545" s="39"/>
      <c r="R545" s="39"/>
    </row>
    <row r="546" ht="19.5" customHeight="1">
      <c r="A546" s="34"/>
      <c r="B546" s="35"/>
      <c r="C546" s="35"/>
      <c r="D546" s="3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7" t="str">
        <f t="shared" si="1"/>
        <v>-</v>
      </c>
      <c r="Q546" s="35"/>
      <c r="R546" s="35"/>
    </row>
    <row r="547" ht="19.5" customHeight="1">
      <c r="A547" s="38"/>
      <c r="B547" s="39"/>
      <c r="C547" s="39"/>
      <c r="D547" s="39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1" t="str">
        <f t="shared" si="1"/>
        <v>-</v>
      </c>
      <c r="Q547" s="39"/>
      <c r="R547" s="39"/>
    </row>
    <row r="548" ht="19.5" customHeight="1">
      <c r="A548" s="34"/>
      <c r="B548" s="35"/>
      <c r="C548" s="35"/>
      <c r="D548" s="3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7" t="str">
        <f t="shared" si="1"/>
        <v>-</v>
      </c>
      <c r="Q548" s="35"/>
      <c r="R548" s="35"/>
    </row>
    <row r="549" ht="19.5" customHeight="1">
      <c r="A549" s="38"/>
      <c r="B549" s="39"/>
      <c r="C549" s="39"/>
      <c r="D549" s="39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1" t="str">
        <f t="shared" si="1"/>
        <v>-</v>
      </c>
      <c r="Q549" s="39"/>
      <c r="R549" s="39"/>
    </row>
    <row r="550" ht="19.5" customHeight="1">
      <c r="A550" s="34"/>
      <c r="B550" s="35"/>
      <c r="C550" s="35"/>
      <c r="D550" s="3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7" t="str">
        <f t="shared" si="1"/>
        <v>-</v>
      </c>
      <c r="Q550" s="35"/>
      <c r="R550" s="35"/>
    </row>
    <row r="551" ht="19.5" customHeight="1">
      <c r="A551" s="38"/>
      <c r="B551" s="39"/>
      <c r="C551" s="39"/>
      <c r="D551" s="39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1" t="str">
        <f t="shared" si="1"/>
        <v>-</v>
      </c>
      <c r="Q551" s="39"/>
      <c r="R551" s="39"/>
    </row>
    <row r="552" ht="19.5" customHeight="1">
      <c r="A552" s="34"/>
      <c r="B552" s="35"/>
      <c r="C552" s="35"/>
      <c r="D552" s="3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7" t="str">
        <f t="shared" si="1"/>
        <v>-</v>
      </c>
      <c r="Q552" s="35"/>
      <c r="R552" s="35"/>
    </row>
    <row r="553" ht="19.5" customHeight="1">
      <c r="A553" s="38"/>
      <c r="B553" s="39"/>
      <c r="C553" s="39"/>
      <c r="D553" s="39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1" t="str">
        <f t="shared" si="1"/>
        <v>-</v>
      </c>
      <c r="Q553" s="39"/>
      <c r="R553" s="39"/>
    </row>
    <row r="554" ht="19.5" customHeight="1">
      <c r="A554" s="34"/>
      <c r="B554" s="35"/>
      <c r="C554" s="35"/>
      <c r="D554" s="3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7" t="str">
        <f t="shared" si="1"/>
        <v>-</v>
      </c>
      <c r="Q554" s="35"/>
      <c r="R554" s="35"/>
    </row>
    <row r="555" ht="19.5" customHeight="1">
      <c r="A555" s="38"/>
      <c r="B555" s="39"/>
      <c r="C555" s="39"/>
      <c r="D555" s="39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1" t="str">
        <f t="shared" si="1"/>
        <v>-</v>
      </c>
      <c r="Q555" s="39"/>
      <c r="R555" s="39"/>
    </row>
    <row r="556" ht="19.5" customHeight="1">
      <c r="A556" s="34"/>
      <c r="B556" s="35"/>
      <c r="C556" s="35"/>
      <c r="D556" s="3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7" t="str">
        <f t="shared" si="1"/>
        <v>-</v>
      </c>
      <c r="Q556" s="35"/>
      <c r="R556" s="35"/>
    </row>
    <row r="557" ht="19.5" customHeight="1">
      <c r="A557" s="38"/>
      <c r="B557" s="39"/>
      <c r="C557" s="39"/>
      <c r="D557" s="39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1" t="str">
        <f t="shared" si="1"/>
        <v>-</v>
      </c>
      <c r="Q557" s="39"/>
      <c r="R557" s="39"/>
    </row>
    <row r="558" ht="19.5" customHeight="1">
      <c r="A558" s="34"/>
      <c r="B558" s="35"/>
      <c r="C558" s="35"/>
      <c r="D558" s="3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7" t="str">
        <f t="shared" si="1"/>
        <v>-</v>
      </c>
      <c r="Q558" s="35"/>
      <c r="R558" s="35"/>
    </row>
    <row r="559" ht="19.5" customHeight="1">
      <c r="A559" s="38"/>
      <c r="B559" s="39"/>
      <c r="C559" s="39"/>
      <c r="D559" s="39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1" t="str">
        <f t="shared" si="1"/>
        <v>-</v>
      </c>
      <c r="Q559" s="39"/>
      <c r="R559" s="39"/>
    </row>
    <row r="560" ht="19.5" customHeight="1">
      <c r="A560" s="34"/>
      <c r="B560" s="35"/>
      <c r="C560" s="35"/>
      <c r="D560" s="3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7" t="str">
        <f t="shared" si="1"/>
        <v>-</v>
      </c>
      <c r="Q560" s="35"/>
      <c r="R560" s="35"/>
    </row>
    <row r="561" ht="19.5" customHeight="1">
      <c r="A561" s="38"/>
      <c r="B561" s="39"/>
      <c r="C561" s="39"/>
      <c r="D561" s="39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1" t="str">
        <f t="shared" si="1"/>
        <v>-</v>
      </c>
      <c r="Q561" s="39"/>
      <c r="R561" s="39"/>
    </row>
    <row r="562" ht="19.5" customHeight="1">
      <c r="A562" s="34"/>
      <c r="B562" s="35"/>
      <c r="C562" s="35"/>
      <c r="D562" s="3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7" t="str">
        <f t="shared" si="1"/>
        <v>-</v>
      </c>
      <c r="Q562" s="35"/>
      <c r="R562" s="35"/>
    </row>
    <row r="563" ht="19.5" customHeight="1">
      <c r="A563" s="38"/>
      <c r="B563" s="39"/>
      <c r="C563" s="39"/>
      <c r="D563" s="39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1" t="str">
        <f t="shared" si="1"/>
        <v>-</v>
      </c>
      <c r="Q563" s="39"/>
      <c r="R563" s="39"/>
    </row>
    <row r="564" ht="19.5" customHeight="1">
      <c r="A564" s="34"/>
      <c r="B564" s="35"/>
      <c r="C564" s="35"/>
      <c r="D564" s="3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7" t="str">
        <f t="shared" si="1"/>
        <v>-</v>
      </c>
      <c r="Q564" s="35"/>
      <c r="R564" s="35"/>
    </row>
    <row r="565" ht="19.5" customHeight="1">
      <c r="A565" s="38"/>
      <c r="B565" s="39"/>
      <c r="C565" s="39"/>
      <c r="D565" s="39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1" t="str">
        <f t="shared" si="1"/>
        <v>-</v>
      </c>
      <c r="Q565" s="39"/>
      <c r="R565" s="39"/>
    </row>
    <row r="566" ht="19.5" customHeight="1">
      <c r="A566" s="34"/>
      <c r="B566" s="35"/>
      <c r="C566" s="35"/>
      <c r="D566" s="3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7" t="str">
        <f t="shared" si="1"/>
        <v>-</v>
      </c>
      <c r="Q566" s="35"/>
      <c r="R566" s="35"/>
    </row>
    <row r="567" ht="19.5" customHeight="1">
      <c r="A567" s="38"/>
      <c r="B567" s="39"/>
      <c r="C567" s="39"/>
      <c r="D567" s="39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1" t="str">
        <f t="shared" si="1"/>
        <v>-</v>
      </c>
      <c r="Q567" s="39"/>
      <c r="R567" s="39"/>
    </row>
    <row r="568" ht="19.5" customHeight="1">
      <c r="A568" s="34"/>
      <c r="B568" s="35"/>
      <c r="C568" s="35"/>
      <c r="D568" s="3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7" t="str">
        <f t="shared" si="1"/>
        <v>-</v>
      </c>
      <c r="Q568" s="35"/>
      <c r="R568" s="35"/>
    </row>
    <row r="569" ht="19.5" customHeight="1">
      <c r="A569" s="38"/>
      <c r="B569" s="39"/>
      <c r="C569" s="39"/>
      <c r="D569" s="39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1" t="str">
        <f t="shared" si="1"/>
        <v>-</v>
      </c>
      <c r="Q569" s="39"/>
      <c r="R569" s="39"/>
    </row>
    <row r="570" ht="19.5" customHeight="1">
      <c r="A570" s="34"/>
      <c r="B570" s="35"/>
      <c r="C570" s="35"/>
      <c r="D570" s="3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7" t="str">
        <f t="shared" si="1"/>
        <v>-</v>
      </c>
      <c r="Q570" s="35"/>
      <c r="R570" s="35"/>
    </row>
    <row r="571" ht="19.5" customHeight="1">
      <c r="A571" s="38"/>
      <c r="B571" s="39"/>
      <c r="C571" s="39"/>
      <c r="D571" s="39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1" t="str">
        <f t="shared" si="1"/>
        <v>-</v>
      </c>
      <c r="Q571" s="39"/>
      <c r="R571" s="39"/>
    </row>
    <row r="572" ht="19.5" customHeight="1">
      <c r="A572" s="34"/>
      <c r="B572" s="35"/>
      <c r="C572" s="35"/>
      <c r="D572" s="3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7" t="str">
        <f t="shared" si="1"/>
        <v>-</v>
      </c>
      <c r="Q572" s="35"/>
      <c r="R572" s="35"/>
    </row>
    <row r="573" ht="19.5" customHeight="1">
      <c r="A573" s="38"/>
      <c r="B573" s="39"/>
      <c r="C573" s="39"/>
      <c r="D573" s="39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1" t="str">
        <f t="shared" si="1"/>
        <v>-</v>
      </c>
      <c r="Q573" s="39"/>
      <c r="R573" s="39"/>
    </row>
    <row r="574" ht="19.5" customHeight="1">
      <c r="A574" s="34"/>
      <c r="B574" s="35"/>
      <c r="C574" s="35"/>
      <c r="D574" s="3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7" t="str">
        <f t="shared" si="1"/>
        <v>-</v>
      </c>
      <c r="Q574" s="35"/>
      <c r="R574" s="35"/>
    </row>
    <row r="575" ht="19.5" customHeight="1">
      <c r="A575" s="38"/>
      <c r="B575" s="39"/>
      <c r="C575" s="39"/>
      <c r="D575" s="39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1" t="str">
        <f t="shared" si="1"/>
        <v>-</v>
      </c>
      <c r="Q575" s="39"/>
      <c r="R575" s="39"/>
    </row>
    <row r="576" ht="19.5" customHeight="1">
      <c r="A576" s="34"/>
      <c r="B576" s="35"/>
      <c r="C576" s="35"/>
      <c r="D576" s="3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7" t="str">
        <f t="shared" si="1"/>
        <v>-</v>
      </c>
      <c r="Q576" s="35"/>
      <c r="R576" s="35"/>
    </row>
    <row r="577" ht="19.5" customHeight="1">
      <c r="A577" s="38"/>
      <c r="B577" s="39"/>
      <c r="C577" s="39"/>
      <c r="D577" s="39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1" t="str">
        <f t="shared" si="1"/>
        <v>-</v>
      </c>
      <c r="Q577" s="39"/>
      <c r="R577" s="39"/>
    </row>
    <row r="578" ht="19.5" customHeight="1">
      <c r="A578" s="34"/>
      <c r="B578" s="35"/>
      <c r="C578" s="35"/>
      <c r="D578" s="3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7" t="str">
        <f t="shared" si="1"/>
        <v>-</v>
      </c>
      <c r="Q578" s="35"/>
      <c r="R578" s="35"/>
    </row>
    <row r="579" ht="19.5" customHeight="1">
      <c r="A579" s="38"/>
      <c r="B579" s="39"/>
      <c r="C579" s="39"/>
      <c r="D579" s="39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1" t="str">
        <f t="shared" si="1"/>
        <v>-</v>
      </c>
      <c r="Q579" s="39"/>
      <c r="R579" s="39"/>
    </row>
    <row r="580" ht="19.5" customHeight="1">
      <c r="A580" s="34"/>
      <c r="B580" s="35"/>
      <c r="C580" s="35"/>
      <c r="D580" s="3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7" t="str">
        <f t="shared" si="1"/>
        <v>-</v>
      </c>
      <c r="Q580" s="35"/>
      <c r="R580" s="35"/>
    </row>
    <row r="581" ht="19.5" customHeight="1">
      <c r="A581" s="38"/>
      <c r="B581" s="39"/>
      <c r="C581" s="39"/>
      <c r="D581" s="39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1" t="str">
        <f t="shared" si="1"/>
        <v>-</v>
      </c>
      <c r="Q581" s="39"/>
      <c r="R581" s="39"/>
    </row>
    <row r="582" ht="19.5" customHeight="1">
      <c r="A582" s="34"/>
      <c r="B582" s="35"/>
      <c r="C582" s="35"/>
      <c r="D582" s="3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7" t="str">
        <f t="shared" si="1"/>
        <v>-</v>
      </c>
      <c r="Q582" s="35"/>
      <c r="R582" s="35"/>
    </row>
    <row r="583" ht="19.5" customHeight="1">
      <c r="A583" s="38"/>
      <c r="B583" s="39"/>
      <c r="C583" s="39"/>
      <c r="D583" s="39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1" t="str">
        <f t="shared" si="1"/>
        <v>-</v>
      </c>
      <c r="Q583" s="39"/>
      <c r="R583" s="39"/>
    </row>
    <row r="584" ht="19.5" customHeight="1">
      <c r="A584" s="34"/>
      <c r="B584" s="35"/>
      <c r="C584" s="35"/>
      <c r="D584" s="3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7" t="str">
        <f t="shared" si="1"/>
        <v>-</v>
      </c>
      <c r="Q584" s="35"/>
      <c r="R584" s="35"/>
    </row>
    <row r="585" ht="19.5" customHeight="1">
      <c r="A585" s="38"/>
      <c r="B585" s="39"/>
      <c r="C585" s="39"/>
      <c r="D585" s="39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1" t="str">
        <f t="shared" si="1"/>
        <v>-</v>
      </c>
      <c r="Q585" s="39"/>
      <c r="R585" s="39"/>
    </row>
    <row r="586" ht="19.5" customHeight="1">
      <c r="A586" s="34"/>
      <c r="B586" s="35"/>
      <c r="C586" s="35"/>
      <c r="D586" s="3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7" t="str">
        <f t="shared" si="1"/>
        <v>-</v>
      </c>
      <c r="Q586" s="35"/>
      <c r="R586" s="35"/>
    </row>
    <row r="587" ht="19.5" customHeight="1">
      <c r="A587" s="38"/>
      <c r="B587" s="39"/>
      <c r="C587" s="39"/>
      <c r="D587" s="39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1" t="str">
        <f t="shared" si="1"/>
        <v>-</v>
      </c>
      <c r="Q587" s="39"/>
      <c r="R587" s="39"/>
    </row>
    <row r="588" ht="19.5" customHeight="1">
      <c r="A588" s="34"/>
      <c r="B588" s="35"/>
      <c r="C588" s="35"/>
      <c r="D588" s="3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7" t="str">
        <f t="shared" si="1"/>
        <v>-</v>
      </c>
      <c r="Q588" s="35"/>
      <c r="R588" s="35"/>
    </row>
    <row r="589" ht="19.5" customHeight="1">
      <c r="A589" s="38"/>
      <c r="B589" s="39"/>
      <c r="C589" s="39"/>
      <c r="D589" s="39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1" t="str">
        <f t="shared" si="1"/>
        <v>-</v>
      </c>
      <c r="Q589" s="39"/>
      <c r="R589" s="39"/>
    </row>
    <row r="590" ht="19.5" customHeight="1">
      <c r="A590" s="34"/>
      <c r="B590" s="35"/>
      <c r="C590" s="35"/>
      <c r="D590" s="3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7" t="str">
        <f t="shared" si="1"/>
        <v>-</v>
      </c>
      <c r="Q590" s="35"/>
      <c r="R590" s="35"/>
    </row>
    <row r="591" ht="19.5" customHeight="1">
      <c r="A591" s="38"/>
      <c r="B591" s="39"/>
      <c r="C591" s="39"/>
      <c r="D591" s="39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1" t="str">
        <f t="shared" si="1"/>
        <v>-</v>
      </c>
      <c r="Q591" s="39"/>
      <c r="R591" s="39"/>
    </row>
    <row r="592" ht="19.5" customHeight="1">
      <c r="A592" s="34"/>
      <c r="B592" s="35"/>
      <c r="C592" s="35"/>
      <c r="D592" s="3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7" t="str">
        <f t="shared" si="1"/>
        <v>-</v>
      </c>
      <c r="Q592" s="35"/>
      <c r="R592" s="35"/>
    </row>
    <row r="593" ht="19.5" customHeight="1">
      <c r="A593" s="38"/>
      <c r="B593" s="39"/>
      <c r="C593" s="39"/>
      <c r="D593" s="39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1" t="str">
        <f t="shared" si="1"/>
        <v>-</v>
      </c>
      <c r="Q593" s="39"/>
      <c r="R593" s="39"/>
    </row>
    <row r="594" ht="19.5" customHeight="1">
      <c r="A594" s="34"/>
      <c r="B594" s="35"/>
      <c r="C594" s="35"/>
      <c r="D594" s="3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7" t="str">
        <f t="shared" si="1"/>
        <v>-</v>
      </c>
      <c r="Q594" s="35"/>
      <c r="R594" s="35"/>
    </row>
    <row r="595" ht="19.5" customHeight="1">
      <c r="A595" s="38"/>
      <c r="B595" s="39"/>
      <c r="C595" s="39"/>
      <c r="D595" s="39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1" t="str">
        <f t="shared" si="1"/>
        <v>-</v>
      </c>
      <c r="Q595" s="39"/>
      <c r="R595" s="39"/>
    </row>
    <row r="596" ht="19.5" customHeight="1">
      <c r="A596" s="34"/>
      <c r="B596" s="35"/>
      <c r="C596" s="35"/>
      <c r="D596" s="3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7" t="str">
        <f t="shared" si="1"/>
        <v>-</v>
      </c>
      <c r="Q596" s="35"/>
      <c r="R596" s="35"/>
    </row>
    <row r="597" ht="19.5" customHeight="1">
      <c r="A597" s="38"/>
      <c r="B597" s="39"/>
      <c r="C597" s="39"/>
      <c r="D597" s="39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1" t="str">
        <f t="shared" si="1"/>
        <v>-</v>
      </c>
      <c r="Q597" s="39"/>
      <c r="R597" s="39"/>
    </row>
    <row r="598" ht="19.5" customHeight="1">
      <c r="A598" s="34"/>
      <c r="B598" s="35"/>
      <c r="C598" s="35"/>
      <c r="D598" s="3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7" t="str">
        <f t="shared" si="1"/>
        <v>-</v>
      </c>
      <c r="Q598" s="35"/>
      <c r="R598" s="35"/>
    </row>
    <row r="599" ht="19.5" customHeight="1">
      <c r="A599" s="38"/>
      <c r="B599" s="39"/>
      <c r="C599" s="39"/>
      <c r="D599" s="39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1" t="str">
        <f t="shared" si="1"/>
        <v>-</v>
      </c>
      <c r="Q599" s="39"/>
      <c r="R599" s="39"/>
    </row>
    <row r="600" ht="19.5" customHeight="1">
      <c r="A600" s="34"/>
      <c r="B600" s="35"/>
      <c r="C600" s="35"/>
      <c r="D600" s="3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7" t="str">
        <f t="shared" si="1"/>
        <v>-</v>
      </c>
      <c r="Q600" s="35"/>
      <c r="R600" s="35"/>
    </row>
    <row r="601" ht="19.5" customHeight="1">
      <c r="A601" s="38"/>
      <c r="B601" s="39"/>
      <c r="C601" s="39"/>
      <c r="D601" s="39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1" t="str">
        <f t="shared" si="1"/>
        <v>-</v>
      </c>
      <c r="Q601" s="39"/>
      <c r="R601" s="39"/>
    </row>
    <row r="602" ht="19.5" customHeight="1">
      <c r="A602" s="34"/>
      <c r="B602" s="35"/>
      <c r="C602" s="35"/>
      <c r="D602" s="3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7" t="str">
        <f t="shared" si="1"/>
        <v>-</v>
      </c>
      <c r="Q602" s="35"/>
      <c r="R602" s="35"/>
    </row>
    <row r="603" ht="19.5" customHeight="1">
      <c r="A603" s="38"/>
      <c r="B603" s="39"/>
      <c r="C603" s="39"/>
      <c r="D603" s="39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1" t="str">
        <f t="shared" si="1"/>
        <v>-</v>
      </c>
      <c r="Q603" s="39"/>
      <c r="R603" s="39"/>
    </row>
    <row r="604" ht="19.5" customHeight="1">
      <c r="A604" s="34"/>
      <c r="B604" s="35"/>
      <c r="C604" s="35"/>
      <c r="D604" s="3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7" t="str">
        <f t="shared" si="1"/>
        <v>-</v>
      </c>
      <c r="Q604" s="35"/>
      <c r="R604" s="35"/>
    </row>
    <row r="605" ht="19.5" customHeight="1">
      <c r="A605" s="38"/>
      <c r="B605" s="39"/>
      <c r="C605" s="39"/>
      <c r="D605" s="39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1" t="str">
        <f t="shared" si="1"/>
        <v>-</v>
      </c>
      <c r="Q605" s="39"/>
      <c r="R605" s="39"/>
    </row>
    <row r="606" ht="19.5" customHeight="1">
      <c r="A606" s="34"/>
      <c r="B606" s="35"/>
      <c r="C606" s="35"/>
      <c r="D606" s="3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7" t="str">
        <f t="shared" si="1"/>
        <v>-</v>
      </c>
      <c r="Q606" s="35"/>
      <c r="R606" s="35"/>
    </row>
    <row r="607" ht="19.5" customHeight="1">
      <c r="A607" s="38"/>
      <c r="B607" s="39"/>
      <c r="C607" s="39"/>
      <c r="D607" s="39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1" t="str">
        <f t="shared" si="1"/>
        <v>-</v>
      </c>
      <c r="Q607" s="39"/>
      <c r="R607" s="39"/>
    </row>
    <row r="608" ht="19.5" customHeight="1">
      <c r="A608" s="34"/>
      <c r="B608" s="35"/>
      <c r="C608" s="35"/>
      <c r="D608" s="3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7" t="str">
        <f t="shared" si="1"/>
        <v>-</v>
      </c>
      <c r="Q608" s="35"/>
      <c r="R608" s="35"/>
    </row>
    <row r="609" ht="19.5" customHeight="1">
      <c r="A609" s="38"/>
      <c r="B609" s="39"/>
      <c r="C609" s="39"/>
      <c r="D609" s="39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1" t="str">
        <f t="shared" si="1"/>
        <v>-</v>
      </c>
      <c r="Q609" s="39"/>
      <c r="R609" s="39"/>
    </row>
    <row r="610" ht="19.5" customHeight="1">
      <c r="A610" s="34"/>
      <c r="B610" s="35"/>
      <c r="C610" s="35"/>
      <c r="D610" s="3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7" t="str">
        <f t="shared" si="1"/>
        <v>-</v>
      </c>
      <c r="Q610" s="35"/>
      <c r="R610" s="35"/>
    </row>
    <row r="611" ht="19.5" customHeight="1">
      <c r="A611" s="38"/>
      <c r="B611" s="39"/>
      <c r="C611" s="39"/>
      <c r="D611" s="39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1" t="str">
        <f t="shared" si="1"/>
        <v>-</v>
      </c>
      <c r="Q611" s="39"/>
      <c r="R611" s="39"/>
    </row>
    <row r="612" ht="19.5" customHeight="1">
      <c r="A612" s="34"/>
      <c r="B612" s="35"/>
      <c r="C612" s="35"/>
      <c r="D612" s="3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7" t="str">
        <f t="shared" si="1"/>
        <v>-</v>
      </c>
      <c r="Q612" s="35"/>
      <c r="R612" s="35"/>
    </row>
    <row r="613" ht="19.5" customHeight="1">
      <c r="A613" s="38"/>
      <c r="B613" s="39"/>
      <c r="C613" s="39"/>
      <c r="D613" s="39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1" t="str">
        <f t="shared" si="1"/>
        <v>-</v>
      </c>
      <c r="Q613" s="39"/>
      <c r="R613" s="39"/>
    </row>
    <row r="614" ht="19.5" customHeight="1">
      <c r="A614" s="34"/>
      <c r="B614" s="35"/>
      <c r="C614" s="35"/>
      <c r="D614" s="3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7" t="str">
        <f t="shared" si="1"/>
        <v>-</v>
      </c>
      <c r="Q614" s="35"/>
      <c r="R614" s="35"/>
    </row>
    <row r="615" ht="19.5" customHeight="1">
      <c r="A615" s="38"/>
      <c r="B615" s="39"/>
      <c r="C615" s="39"/>
      <c r="D615" s="39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1" t="str">
        <f t="shared" si="1"/>
        <v>-</v>
      </c>
      <c r="Q615" s="39"/>
      <c r="R615" s="39"/>
    </row>
    <row r="616" ht="19.5" customHeight="1">
      <c r="A616" s="34"/>
      <c r="B616" s="35"/>
      <c r="C616" s="35"/>
      <c r="D616" s="3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7" t="str">
        <f t="shared" si="1"/>
        <v>-</v>
      </c>
      <c r="Q616" s="35"/>
      <c r="R616" s="35"/>
    </row>
    <row r="617" ht="19.5" customHeight="1">
      <c r="A617" s="38"/>
      <c r="B617" s="39"/>
      <c r="C617" s="39"/>
      <c r="D617" s="39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1" t="str">
        <f t="shared" si="1"/>
        <v>-</v>
      </c>
      <c r="Q617" s="39"/>
      <c r="R617" s="39"/>
    </row>
    <row r="618" ht="19.5" customHeight="1">
      <c r="A618" s="34"/>
      <c r="B618" s="35"/>
      <c r="C618" s="35"/>
      <c r="D618" s="3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7" t="str">
        <f t="shared" si="1"/>
        <v>-</v>
      </c>
      <c r="Q618" s="35"/>
      <c r="R618" s="35"/>
    </row>
    <row r="619" ht="19.5" customHeight="1">
      <c r="A619" s="38"/>
      <c r="B619" s="39"/>
      <c r="C619" s="39"/>
      <c r="D619" s="39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1" t="str">
        <f t="shared" si="1"/>
        <v>-</v>
      </c>
      <c r="Q619" s="39"/>
      <c r="R619" s="39"/>
    </row>
    <row r="620" ht="19.5" customHeight="1">
      <c r="A620" s="34"/>
      <c r="B620" s="35"/>
      <c r="C620" s="35"/>
      <c r="D620" s="3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7" t="str">
        <f t="shared" si="1"/>
        <v>-</v>
      </c>
      <c r="Q620" s="35"/>
      <c r="R620" s="35"/>
    </row>
    <row r="621" ht="19.5" customHeight="1">
      <c r="A621" s="38"/>
      <c r="B621" s="39"/>
      <c r="C621" s="39"/>
      <c r="D621" s="39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1" t="str">
        <f t="shared" si="1"/>
        <v>-</v>
      </c>
      <c r="Q621" s="39"/>
      <c r="R621" s="39"/>
    </row>
    <row r="622" ht="19.5" customHeight="1">
      <c r="A622" s="34"/>
      <c r="B622" s="35"/>
      <c r="C622" s="35"/>
      <c r="D622" s="3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7" t="str">
        <f t="shared" si="1"/>
        <v>-</v>
      </c>
      <c r="Q622" s="35"/>
      <c r="R622" s="35"/>
    </row>
    <row r="623" ht="19.5" customHeight="1">
      <c r="A623" s="38"/>
      <c r="B623" s="39"/>
      <c r="C623" s="39"/>
      <c r="D623" s="39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1" t="str">
        <f t="shared" si="1"/>
        <v>-</v>
      </c>
      <c r="Q623" s="39"/>
      <c r="R623" s="39"/>
    </row>
    <row r="624" ht="19.5" customHeight="1">
      <c r="A624" s="34"/>
      <c r="B624" s="35"/>
      <c r="C624" s="35"/>
      <c r="D624" s="3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7" t="str">
        <f t="shared" si="1"/>
        <v>-</v>
      </c>
      <c r="Q624" s="35"/>
      <c r="R624" s="35"/>
    </row>
    <row r="625" ht="19.5" customHeight="1">
      <c r="A625" s="38"/>
      <c r="B625" s="39"/>
      <c r="C625" s="39"/>
      <c r="D625" s="39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1" t="str">
        <f t="shared" si="1"/>
        <v>-</v>
      </c>
      <c r="Q625" s="39"/>
      <c r="R625" s="39"/>
    </row>
    <row r="626" ht="19.5" customHeight="1">
      <c r="A626" s="34"/>
      <c r="B626" s="35"/>
      <c r="C626" s="35"/>
      <c r="D626" s="3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7" t="str">
        <f t="shared" si="1"/>
        <v>-</v>
      </c>
      <c r="Q626" s="35"/>
      <c r="R626" s="35"/>
    </row>
    <row r="627" ht="19.5" customHeight="1">
      <c r="A627" s="38"/>
      <c r="B627" s="39"/>
      <c r="C627" s="39"/>
      <c r="D627" s="39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1" t="str">
        <f t="shared" si="1"/>
        <v>-</v>
      </c>
      <c r="Q627" s="39"/>
      <c r="R627" s="39"/>
    </row>
    <row r="628" ht="19.5" customHeight="1">
      <c r="A628" s="34"/>
      <c r="B628" s="35"/>
      <c r="C628" s="35"/>
      <c r="D628" s="3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7" t="str">
        <f t="shared" si="1"/>
        <v>-</v>
      </c>
      <c r="Q628" s="35"/>
      <c r="R628" s="35"/>
    </row>
    <row r="629" ht="19.5" customHeight="1">
      <c r="A629" s="38"/>
      <c r="B629" s="39"/>
      <c r="C629" s="39"/>
      <c r="D629" s="39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1" t="str">
        <f t="shared" si="1"/>
        <v>-</v>
      </c>
      <c r="Q629" s="39"/>
      <c r="R629" s="39"/>
    </row>
    <row r="630" ht="19.5" customHeight="1">
      <c r="A630" s="34"/>
      <c r="B630" s="35"/>
      <c r="C630" s="35"/>
      <c r="D630" s="3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7" t="str">
        <f t="shared" si="1"/>
        <v>-</v>
      </c>
      <c r="Q630" s="35"/>
      <c r="R630" s="35"/>
    </row>
    <row r="631" ht="19.5" customHeight="1">
      <c r="A631" s="38"/>
      <c r="B631" s="39"/>
      <c r="C631" s="39"/>
      <c r="D631" s="39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1" t="str">
        <f t="shared" si="1"/>
        <v>-</v>
      </c>
      <c r="Q631" s="39"/>
      <c r="R631" s="39"/>
    </row>
    <row r="632" ht="19.5" customHeight="1">
      <c r="A632" s="34"/>
      <c r="B632" s="35"/>
      <c r="C632" s="35"/>
      <c r="D632" s="3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7" t="str">
        <f t="shared" si="1"/>
        <v>-</v>
      </c>
      <c r="Q632" s="35"/>
      <c r="R632" s="35"/>
    </row>
    <row r="633" ht="19.5" customHeight="1">
      <c r="A633" s="38"/>
      <c r="B633" s="39"/>
      <c r="C633" s="39"/>
      <c r="D633" s="39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1" t="str">
        <f t="shared" si="1"/>
        <v>-</v>
      </c>
      <c r="Q633" s="39"/>
      <c r="R633" s="39"/>
    </row>
    <row r="634" ht="19.5" customHeight="1">
      <c r="A634" s="34"/>
      <c r="B634" s="35"/>
      <c r="C634" s="35"/>
      <c r="D634" s="3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7" t="str">
        <f t="shared" si="1"/>
        <v>-</v>
      </c>
      <c r="Q634" s="35"/>
      <c r="R634" s="35"/>
    </row>
    <row r="635" ht="19.5" customHeight="1">
      <c r="A635" s="38"/>
      <c r="B635" s="39"/>
      <c r="C635" s="39"/>
      <c r="D635" s="39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1" t="str">
        <f t="shared" si="1"/>
        <v>-</v>
      </c>
      <c r="Q635" s="39"/>
      <c r="R635" s="39"/>
    </row>
    <row r="636" ht="19.5" customHeight="1">
      <c r="A636" s="34"/>
      <c r="B636" s="35"/>
      <c r="C636" s="35"/>
      <c r="D636" s="3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7" t="str">
        <f t="shared" si="1"/>
        <v>-</v>
      </c>
      <c r="Q636" s="35"/>
      <c r="R636" s="35"/>
    </row>
    <row r="637" ht="19.5" customHeight="1">
      <c r="A637" s="38"/>
      <c r="B637" s="39"/>
      <c r="C637" s="39"/>
      <c r="D637" s="39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1" t="str">
        <f t="shared" si="1"/>
        <v>-</v>
      </c>
      <c r="Q637" s="39"/>
      <c r="R637" s="39"/>
    </row>
    <row r="638" ht="19.5" customHeight="1">
      <c r="A638" s="34"/>
      <c r="B638" s="35"/>
      <c r="C638" s="35"/>
      <c r="D638" s="3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7" t="str">
        <f t="shared" si="1"/>
        <v>-</v>
      </c>
      <c r="Q638" s="35"/>
      <c r="R638" s="35"/>
    </row>
    <row r="639" ht="19.5" customHeight="1">
      <c r="A639" s="38"/>
      <c r="B639" s="39"/>
      <c r="C639" s="39"/>
      <c r="D639" s="39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1" t="str">
        <f t="shared" si="1"/>
        <v>-</v>
      </c>
      <c r="Q639" s="39"/>
      <c r="R639" s="39"/>
    </row>
    <row r="640" ht="19.5" customHeight="1">
      <c r="A640" s="34"/>
      <c r="B640" s="35"/>
      <c r="C640" s="35"/>
      <c r="D640" s="3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7" t="str">
        <f t="shared" si="1"/>
        <v>-</v>
      </c>
      <c r="Q640" s="35"/>
      <c r="R640" s="35"/>
    </row>
    <row r="641" ht="19.5" customHeight="1">
      <c r="A641" s="38"/>
      <c r="B641" s="39"/>
      <c r="C641" s="39"/>
      <c r="D641" s="39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1" t="str">
        <f t="shared" si="1"/>
        <v>-</v>
      </c>
      <c r="Q641" s="39"/>
      <c r="R641" s="39"/>
    </row>
    <row r="642" ht="19.5" customHeight="1">
      <c r="A642" s="34"/>
      <c r="B642" s="35"/>
      <c r="C642" s="35"/>
      <c r="D642" s="3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7" t="str">
        <f t="shared" si="1"/>
        <v>-</v>
      </c>
      <c r="Q642" s="35"/>
      <c r="R642" s="35"/>
    </row>
    <row r="643" ht="19.5" customHeight="1">
      <c r="A643" s="38"/>
      <c r="B643" s="39"/>
      <c r="C643" s="39"/>
      <c r="D643" s="39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1" t="str">
        <f t="shared" si="1"/>
        <v>-</v>
      </c>
      <c r="Q643" s="39"/>
      <c r="R643" s="39"/>
    </row>
    <row r="644" ht="19.5" customHeight="1">
      <c r="A644" s="34"/>
      <c r="B644" s="35"/>
      <c r="C644" s="35"/>
      <c r="D644" s="3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7" t="str">
        <f t="shared" si="1"/>
        <v>-</v>
      </c>
      <c r="Q644" s="35"/>
      <c r="R644" s="35"/>
    </row>
    <row r="645" ht="19.5" customHeight="1">
      <c r="A645" s="38"/>
      <c r="B645" s="39"/>
      <c r="C645" s="39"/>
      <c r="D645" s="39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1" t="str">
        <f t="shared" si="1"/>
        <v>-</v>
      </c>
      <c r="Q645" s="39"/>
      <c r="R645" s="39"/>
    </row>
    <row r="646" ht="19.5" customHeight="1">
      <c r="A646" s="34"/>
      <c r="B646" s="35"/>
      <c r="C646" s="35"/>
      <c r="D646" s="3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7" t="str">
        <f t="shared" si="1"/>
        <v>-</v>
      </c>
      <c r="Q646" s="35"/>
      <c r="R646" s="35"/>
    </row>
    <row r="647" ht="19.5" customHeight="1">
      <c r="A647" s="38"/>
      <c r="B647" s="39"/>
      <c r="C647" s="39"/>
      <c r="D647" s="39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1" t="str">
        <f t="shared" si="1"/>
        <v>-</v>
      </c>
      <c r="Q647" s="39"/>
      <c r="R647" s="39"/>
    </row>
    <row r="648" ht="19.5" customHeight="1">
      <c r="A648" s="34"/>
      <c r="B648" s="35"/>
      <c r="C648" s="35"/>
      <c r="D648" s="3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7" t="str">
        <f t="shared" si="1"/>
        <v>-</v>
      </c>
      <c r="Q648" s="35"/>
      <c r="R648" s="35"/>
    </row>
    <row r="649" ht="19.5" customHeight="1">
      <c r="A649" s="38"/>
      <c r="B649" s="39"/>
      <c r="C649" s="39"/>
      <c r="D649" s="39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1" t="str">
        <f t="shared" si="1"/>
        <v>-</v>
      </c>
      <c r="Q649" s="39"/>
      <c r="R649" s="39"/>
    </row>
    <row r="650" ht="19.5" customHeight="1">
      <c r="A650" s="34"/>
      <c r="B650" s="35"/>
      <c r="C650" s="35"/>
      <c r="D650" s="3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7" t="str">
        <f t="shared" si="1"/>
        <v>-</v>
      </c>
      <c r="Q650" s="35"/>
      <c r="R650" s="35"/>
    </row>
    <row r="651" ht="19.5" customHeight="1">
      <c r="A651" s="38"/>
      <c r="B651" s="39"/>
      <c r="C651" s="39"/>
      <c r="D651" s="39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1" t="str">
        <f t="shared" si="1"/>
        <v>-</v>
      </c>
      <c r="Q651" s="39"/>
      <c r="R651" s="39"/>
    </row>
    <row r="652" ht="19.5" customHeight="1">
      <c r="A652" s="34"/>
      <c r="B652" s="35"/>
      <c r="C652" s="35"/>
      <c r="D652" s="3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7" t="str">
        <f t="shared" si="1"/>
        <v>-</v>
      </c>
      <c r="Q652" s="35"/>
      <c r="R652" s="35"/>
    </row>
    <row r="653" ht="19.5" customHeight="1">
      <c r="A653" s="38"/>
      <c r="B653" s="39"/>
      <c r="C653" s="39"/>
      <c r="D653" s="39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1" t="str">
        <f t="shared" si="1"/>
        <v>-</v>
      </c>
      <c r="Q653" s="39"/>
      <c r="R653" s="39"/>
    </row>
    <row r="654" ht="19.5" customHeight="1">
      <c r="A654" s="34"/>
      <c r="B654" s="35"/>
      <c r="C654" s="35"/>
      <c r="D654" s="3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7" t="str">
        <f t="shared" si="1"/>
        <v>-</v>
      </c>
      <c r="Q654" s="35"/>
      <c r="R654" s="35"/>
    </row>
    <row r="655" ht="19.5" customHeight="1">
      <c r="A655" s="38"/>
      <c r="B655" s="39"/>
      <c r="C655" s="39"/>
      <c r="D655" s="39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1" t="str">
        <f t="shared" si="1"/>
        <v>-</v>
      </c>
      <c r="Q655" s="39"/>
      <c r="R655" s="39"/>
    </row>
    <row r="656" ht="19.5" customHeight="1">
      <c r="A656" s="34"/>
      <c r="B656" s="35"/>
      <c r="C656" s="35"/>
      <c r="D656" s="3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7" t="str">
        <f t="shared" si="1"/>
        <v>-</v>
      </c>
      <c r="Q656" s="35"/>
      <c r="R656" s="35"/>
    </row>
    <row r="657" ht="19.5" customHeight="1">
      <c r="A657" s="38"/>
      <c r="B657" s="39"/>
      <c r="C657" s="39"/>
      <c r="D657" s="39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1" t="str">
        <f t="shared" si="1"/>
        <v>-</v>
      </c>
      <c r="Q657" s="39"/>
      <c r="R657" s="39"/>
    </row>
    <row r="658" ht="19.5" customHeight="1">
      <c r="A658" s="34"/>
      <c r="B658" s="35"/>
      <c r="C658" s="35"/>
      <c r="D658" s="3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7" t="str">
        <f t="shared" si="1"/>
        <v>-</v>
      </c>
      <c r="Q658" s="35"/>
      <c r="R658" s="35"/>
    </row>
    <row r="659" ht="19.5" customHeight="1">
      <c r="A659" s="38"/>
      <c r="B659" s="39"/>
      <c r="C659" s="39"/>
      <c r="D659" s="39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1" t="str">
        <f t="shared" si="1"/>
        <v>-</v>
      </c>
      <c r="Q659" s="39"/>
      <c r="R659" s="39"/>
    </row>
    <row r="660" ht="19.5" customHeight="1">
      <c r="A660" s="34"/>
      <c r="B660" s="35"/>
      <c r="C660" s="35"/>
      <c r="D660" s="3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7" t="str">
        <f t="shared" si="1"/>
        <v>-</v>
      </c>
      <c r="Q660" s="35"/>
      <c r="R660" s="35"/>
    </row>
    <row r="661" ht="19.5" customHeight="1">
      <c r="A661" s="38"/>
      <c r="B661" s="39"/>
      <c r="C661" s="39"/>
      <c r="D661" s="39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1" t="str">
        <f t="shared" si="1"/>
        <v>-</v>
      </c>
      <c r="Q661" s="39"/>
      <c r="R661" s="39"/>
    </row>
    <row r="662" ht="19.5" customHeight="1">
      <c r="A662" s="34"/>
      <c r="B662" s="35"/>
      <c r="C662" s="35"/>
      <c r="D662" s="3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7" t="str">
        <f t="shared" si="1"/>
        <v>-</v>
      </c>
      <c r="Q662" s="35"/>
      <c r="R662" s="35"/>
    </row>
    <row r="663" ht="19.5" customHeight="1">
      <c r="A663" s="38"/>
      <c r="B663" s="39"/>
      <c r="C663" s="39"/>
      <c r="D663" s="39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1" t="str">
        <f t="shared" si="1"/>
        <v>-</v>
      </c>
      <c r="Q663" s="39"/>
      <c r="R663" s="39"/>
    </row>
    <row r="664" ht="19.5" customHeight="1">
      <c r="A664" s="34"/>
      <c r="B664" s="35"/>
      <c r="C664" s="35"/>
      <c r="D664" s="3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7" t="str">
        <f t="shared" si="1"/>
        <v>-</v>
      </c>
      <c r="Q664" s="35"/>
      <c r="R664" s="35"/>
    </row>
    <row r="665" ht="19.5" customHeight="1">
      <c r="A665" s="38"/>
      <c r="B665" s="39"/>
      <c r="C665" s="39"/>
      <c r="D665" s="39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1" t="str">
        <f t="shared" si="1"/>
        <v>-</v>
      </c>
      <c r="Q665" s="39"/>
      <c r="R665" s="39"/>
    </row>
    <row r="666" ht="19.5" customHeight="1">
      <c r="A666" s="34"/>
      <c r="B666" s="35"/>
      <c r="C666" s="35"/>
      <c r="D666" s="3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7" t="str">
        <f t="shared" si="1"/>
        <v>-</v>
      </c>
      <c r="Q666" s="35"/>
      <c r="R666" s="35"/>
    </row>
    <row r="667" ht="19.5" customHeight="1">
      <c r="A667" s="38"/>
      <c r="B667" s="39"/>
      <c r="C667" s="39"/>
      <c r="D667" s="39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1" t="str">
        <f t="shared" si="1"/>
        <v>-</v>
      </c>
      <c r="Q667" s="39"/>
      <c r="R667" s="39"/>
    </row>
    <row r="668" ht="19.5" customHeight="1">
      <c r="A668" s="34"/>
      <c r="B668" s="35"/>
      <c r="C668" s="35"/>
      <c r="D668" s="3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7" t="str">
        <f t="shared" si="1"/>
        <v>-</v>
      </c>
      <c r="Q668" s="35"/>
      <c r="R668" s="35"/>
    </row>
    <row r="669" ht="19.5" customHeight="1">
      <c r="A669" s="38"/>
      <c r="B669" s="39"/>
      <c r="C669" s="39"/>
      <c r="D669" s="39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1" t="str">
        <f t="shared" si="1"/>
        <v>-</v>
      </c>
      <c r="Q669" s="39"/>
      <c r="R669" s="39"/>
    </row>
    <row r="670" ht="19.5" customHeight="1">
      <c r="A670" s="34"/>
      <c r="B670" s="35"/>
      <c r="C670" s="35"/>
      <c r="D670" s="3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7" t="str">
        <f t="shared" si="1"/>
        <v>-</v>
      </c>
      <c r="Q670" s="35"/>
      <c r="R670" s="35"/>
    </row>
    <row r="671" ht="19.5" customHeight="1">
      <c r="A671" s="38"/>
      <c r="B671" s="39"/>
      <c r="C671" s="39"/>
      <c r="D671" s="39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1" t="str">
        <f t="shared" si="1"/>
        <v>-</v>
      </c>
      <c r="Q671" s="39"/>
      <c r="R671" s="39"/>
    </row>
    <row r="672" ht="19.5" customHeight="1">
      <c r="A672" s="34"/>
      <c r="B672" s="35"/>
      <c r="C672" s="35"/>
      <c r="D672" s="3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7" t="str">
        <f t="shared" si="1"/>
        <v>-</v>
      </c>
      <c r="Q672" s="35"/>
      <c r="R672" s="35"/>
    </row>
    <row r="673" ht="19.5" customHeight="1">
      <c r="A673" s="38"/>
      <c r="B673" s="39"/>
      <c r="C673" s="39"/>
      <c r="D673" s="39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1" t="str">
        <f t="shared" si="1"/>
        <v>-</v>
      </c>
      <c r="Q673" s="39"/>
      <c r="R673" s="39"/>
    </row>
    <row r="674" ht="19.5" customHeight="1">
      <c r="A674" s="34"/>
      <c r="B674" s="35"/>
      <c r="C674" s="35"/>
      <c r="D674" s="3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7" t="str">
        <f t="shared" si="1"/>
        <v>-</v>
      </c>
      <c r="Q674" s="35"/>
      <c r="R674" s="35"/>
    </row>
    <row r="675" ht="19.5" customHeight="1">
      <c r="A675" s="38"/>
      <c r="B675" s="39"/>
      <c r="C675" s="39"/>
      <c r="D675" s="39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1" t="str">
        <f t="shared" si="1"/>
        <v>-</v>
      </c>
      <c r="Q675" s="39"/>
      <c r="R675" s="39"/>
    </row>
    <row r="676" ht="19.5" customHeight="1">
      <c r="A676" s="34"/>
      <c r="B676" s="35"/>
      <c r="C676" s="35"/>
      <c r="D676" s="3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7" t="str">
        <f t="shared" si="1"/>
        <v>-</v>
      </c>
      <c r="Q676" s="35"/>
      <c r="R676" s="35"/>
    </row>
    <row r="677" ht="19.5" customHeight="1">
      <c r="A677" s="38"/>
      <c r="B677" s="39"/>
      <c r="C677" s="39"/>
      <c r="D677" s="39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1" t="str">
        <f t="shared" si="1"/>
        <v>-</v>
      </c>
      <c r="Q677" s="39"/>
      <c r="R677" s="39"/>
    </row>
    <row r="678" ht="19.5" customHeight="1">
      <c r="A678" s="34"/>
      <c r="B678" s="35"/>
      <c r="C678" s="35"/>
      <c r="D678" s="3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7" t="str">
        <f t="shared" si="1"/>
        <v>-</v>
      </c>
      <c r="Q678" s="35"/>
      <c r="R678" s="35"/>
    </row>
    <row r="679" ht="19.5" customHeight="1">
      <c r="A679" s="38"/>
      <c r="B679" s="39"/>
      <c r="C679" s="39"/>
      <c r="D679" s="39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1" t="str">
        <f t="shared" si="1"/>
        <v>-</v>
      </c>
      <c r="Q679" s="39"/>
      <c r="R679" s="39"/>
    </row>
    <row r="680" ht="19.5" customHeight="1">
      <c r="A680" s="34"/>
      <c r="B680" s="35"/>
      <c r="C680" s="35"/>
      <c r="D680" s="3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7" t="str">
        <f t="shared" si="1"/>
        <v>-</v>
      </c>
      <c r="Q680" s="35"/>
      <c r="R680" s="35"/>
    </row>
    <row r="681" ht="19.5" customHeight="1">
      <c r="A681" s="38"/>
      <c r="B681" s="39"/>
      <c r="C681" s="39"/>
      <c r="D681" s="39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1" t="str">
        <f t="shared" si="1"/>
        <v>-</v>
      </c>
      <c r="Q681" s="39"/>
      <c r="R681" s="39"/>
    </row>
    <row r="682" ht="19.5" customHeight="1">
      <c r="A682" s="34"/>
      <c r="B682" s="35"/>
      <c r="C682" s="35"/>
      <c r="D682" s="3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7" t="str">
        <f t="shared" si="1"/>
        <v>-</v>
      </c>
      <c r="Q682" s="35"/>
      <c r="R682" s="35"/>
    </row>
    <row r="683" ht="19.5" customHeight="1">
      <c r="A683" s="38"/>
      <c r="B683" s="39"/>
      <c r="C683" s="39"/>
      <c r="D683" s="39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1" t="str">
        <f t="shared" si="1"/>
        <v>-</v>
      </c>
      <c r="Q683" s="39"/>
      <c r="R683" s="39"/>
    </row>
    <row r="684" ht="19.5" customHeight="1">
      <c r="A684" s="34"/>
      <c r="B684" s="35"/>
      <c r="C684" s="35"/>
      <c r="D684" s="3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7" t="str">
        <f t="shared" si="1"/>
        <v>-</v>
      </c>
      <c r="Q684" s="35"/>
      <c r="R684" s="35"/>
    </row>
    <row r="685" ht="19.5" customHeight="1">
      <c r="A685" s="38"/>
      <c r="B685" s="39"/>
      <c r="C685" s="39"/>
      <c r="D685" s="39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1" t="str">
        <f t="shared" si="1"/>
        <v>-</v>
      </c>
      <c r="Q685" s="39"/>
      <c r="R685" s="39"/>
    </row>
    <row r="686" ht="19.5" customHeight="1">
      <c r="A686" s="34"/>
      <c r="B686" s="35"/>
      <c r="C686" s="35"/>
      <c r="D686" s="3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7" t="str">
        <f t="shared" si="1"/>
        <v>-</v>
      </c>
      <c r="Q686" s="35"/>
      <c r="R686" s="35"/>
    </row>
    <row r="687" ht="19.5" customHeight="1">
      <c r="A687" s="38"/>
      <c r="B687" s="39"/>
      <c r="C687" s="39"/>
      <c r="D687" s="39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1" t="str">
        <f t="shared" si="1"/>
        <v>-</v>
      </c>
      <c r="Q687" s="39"/>
      <c r="R687" s="39"/>
    </row>
    <row r="688" ht="19.5" customHeight="1">
      <c r="A688" s="34"/>
      <c r="B688" s="35"/>
      <c r="C688" s="35"/>
      <c r="D688" s="3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7" t="str">
        <f t="shared" si="1"/>
        <v>-</v>
      </c>
      <c r="Q688" s="35"/>
      <c r="R688" s="35"/>
    </row>
    <row r="689" ht="19.5" customHeight="1">
      <c r="A689" s="38"/>
      <c r="B689" s="39"/>
      <c r="C689" s="39"/>
      <c r="D689" s="39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1" t="str">
        <f t="shared" si="1"/>
        <v>-</v>
      </c>
      <c r="Q689" s="39"/>
      <c r="R689" s="39"/>
    </row>
    <row r="690" ht="19.5" customHeight="1">
      <c r="A690" s="34"/>
      <c r="B690" s="35"/>
      <c r="C690" s="35"/>
      <c r="D690" s="3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7" t="str">
        <f t="shared" si="1"/>
        <v>-</v>
      </c>
      <c r="Q690" s="35"/>
      <c r="R690" s="35"/>
    </row>
    <row r="691" ht="19.5" customHeight="1">
      <c r="A691" s="38"/>
      <c r="B691" s="39"/>
      <c r="C691" s="39"/>
      <c r="D691" s="39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1" t="str">
        <f t="shared" si="1"/>
        <v>-</v>
      </c>
      <c r="Q691" s="39"/>
      <c r="R691" s="39"/>
    </row>
    <row r="692" ht="19.5" customHeight="1">
      <c r="A692" s="34"/>
      <c r="B692" s="35"/>
      <c r="C692" s="35"/>
      <c r="D692" s="3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7" t="str">
        <f t="shared" si="1"/>
        <v>-</v>
      </c>
      <c r="Q692" s="35"/>
      <c r="R692" s="35"/>
    </row>
    <row r="693" ht="19.5" customHeight="1">
      <c r="A693" s="38"/>
      <c r="B693" s="39"/>
      <c r="C693" s="39"/>
      <c r="D693" s="39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1" t="str">
        <f t="shared" si="1"/>
        <v>-</v>
      </c>
      <c r="Q693" s="39"/>
      <c r="R693" s="39"/>
    </row>
    <row r="694" ht="19.5" customHeight="1">
      <c r="A694" s="34"/>
      <c r="B694" s="35"/>
      <c r="C694" s="35"/>
      <c r="D694" s="3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7" t="str">
        <f t="shared" si="1"/>
        <v>-</v>
      </c>
      <c r="Q694" s="35"/>
      <c r="R694" s="35"/>
    </row>
    <row r="695" ht="19.5" customHeight="1">
      <c r="A695" s="38"/>
      <c r="B695" s="39"/>
      <c r="C695" s="39"/>
      <c r="D695" s="39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1" t="str">
        <f t="shared" si="1"/>
        <v>-</v>
      </c>
      <c r="Q695" s="39"/>
      <c r="R695" s="39"/>
    </row>
    <row r="696" ht="19.5" customHeight="1">
      <c r="A696" s="34"/>
      <c r="B696" s="35"/>
      <c r="C696" s="35"/>
      <c r="D696" s="3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7" t="str">
        <f t="shared" si="1"/>
        <v>-</v>
      </c>
      <c r="Q696" s="35"/>
      <c r="R696" s="35"/>
    </row>
    <row r="697" ht="19.5" customHeight="1">
      <c r="A697" s="38"/>
      <c r="B697" s="39"/>
      <c r="C697" s="39"/>
      <c r="D697" s="39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1" t="str">
        <f t="shared" si="1"/>
        <v>-</v>
      </c>
      <c r="Q697" s="39"/>
      <c r="R697" s="39"/>
    </row>
    <row r="698" ht="19.5" customHeight="1">
      <c r="A698" s="34"/>
      <c r="B698" s="35"/>
      <c r="C698" s="35"/>
      <c r="D698" s="3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7" t="str">
        <f t="shared" si="1"/>
        <v>-</v>
      </c>
      <c r="Q698" s="35"/>
      <c r="R698" s="35"/>
    </row>
    <row r="699" ht="19.5" customHeight="1">
      <c r="A699" s="38"/>
      <c r="B699" s="39"/>
      <c r="C699" s="39"/>
      <c r="D699" s="39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1" t="str">
        <f t="shared" si="1"/>
        <v>-</v>
      </c>
      <c r="Q699" s="39"/>
      <c r="R699" s="39"/>
    </row>
    <row r="700" ht="19.5" customHeight="1">
      <c r="A700" s="34"/>
      <c r="B700" s="35"/>
      <c r="C700" s="35"/>
      <c r="D700" s="3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7" t="str">
        <f t="shared" si="1"/>
        <v>-</v>
      </c>
      <c r="Q700" s="35"/>
      <c r="R700" s="35"/>
    </row>
    <row r="701" ht="19.5" customHeight="1">
      <c r="A701" s="38"/>
      <c r="B701" s="39"/>
      <c r="C701" s="39"/>
      <c r="D701" s="39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1" t="str">
        <f t="shared" si="1"/>
        <v>-</v>
      </c>
      <c r="Q701" s="39"/>
      <c r="R701" s="39"/>
    </row>
    <row r="702" ht="19.5" customHeight="1">
      <c r="A702" s="34"/>
      <c r="B702" s="35"/>
      <c r="C702" s="35"/>
      <c r="D702" s="3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7" t="str">
        <f t="shared" si="1"/>
        <v>-</v>
      </c>
      <c r="Q702" s="35"/>
      <c r="R702" s="35"/>
    </row>
    <row r="703" ht="19.5" customHeight="1">
      <c r="A703" s="38"/>
      <c r="B703" s="39"/>
      <c r="C703" s="39"/>
      <c r="D703" s="39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1" t="str">
        <f t="shared" si="1"/>
        <v>-</v>
      </c>
      <c r="Q703" s="39"/>
      <c r="R703" s="39"/>
    </row>
    <row r="704" ht="19.5" customHeight="1">
      <c r="A704" s="34"/>
      <c r="B704" s="35"/>
      <c r="C704" s="35"/>
      <c r="D704" s="3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7" t="str">
        <f t="shared" si="1"/>
        <v>-</v>
      </c>
      <c r="Q704" s="35"/>
      <c r="R704" s="35"/>
    </row>
    <row r="705" ht="19.5" customHeight="1">
      <c r="A705" s="38"/>
      <c r="B705" s="39"/>
      <c r="C705" s="39"/>
      <c r="D705" s="39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1" t="str">
        <f t="shared" si="1"/>
        <v>-</v>
      </c>
      <c r="Q705" s="39"/>
      <c r="R705" s="39"/>
    </row>
    <row r="706" ht="19.5" customHeight="1">
      <c r="A706" s="34"/>
      <c r="B706" s="35"/>
      <c r="C706" s="35"/>
      <c r="D706" s="3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7" t="str">
        <f t="shared" si="1"/>
        <v>-</v>
      </c>
      <c r="Q706" s="35"/>
      <c r="R706" s="35"/>
    </row>
    <row r="707" ht="19.5" customHeight="1">
      <c r="A707" s="38"/>
      <c r="B707" s="39"/>
      <c r="C707" s="39"/>
      <c r="D707" s="39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1" t="str">
        <f t="shared" si="1"/>
        <v>-</v>
      </c>
      <c r="Q707" s="39"/>
      <c r="R707" s="39"/>
    </row>
    <row r="708" ht="19.5" customHeight="1">
      <c r="A708" s="34"/>
      <c r="B708" s="35"/>
      <c r="C708" s="35"/>
      <c r="D708" s="3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7" t="str">
        <f t="shared" si="1"/>
        <v>-</v>
      </c>
      <c r="Q708" s="35"/>
      <c r="R708" s="35"/>
    </row>
    <row r="709" ht="19.5" customHeight="1">
      <c r="A709" s="38"/>
      <c r="B709" s="39"/>
      <c r="C709" s="39"/>
      <c r="D709" s="39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1" t="str">
        <f t="shared" si="1"/>
        <v>-</v>
      </c>
      <c r="Q709" s="39"/>
      <c r="R709" s="39"/>
    </row>
    <row r="710" ht="19.5" customHeight="1">
      <c r="A710" s="34"/>
      <c r="B710" s="35"/>
      <c r="C710" s="35"/>
      <c r="D710" s="3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7" t="str">
        <f t="shared" si="1"/>
        <v>-</v>
      </c>
      <c r="Q710" s="35"/>
      <c r="R710" s="35"/>
    </row>
    <row r="711" ht="19.5" customHeight="1">
      <c r="A711" s="38"/>
      <c r="B711" s="39"/>
      <c r="C711" s="39"/>
      <c r="D711" s="39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1" t="str">
        <f t="shared" si="1"/>
        <v>-</v>
      </c>
      <c r="Q711" s="39"/>
      <c r="R711" s="39"/>
    </row>
    <row r="712" ht="19.5" customHeight="1">
      <c r="A712" s="34"/>
      <c r="B712" s="35"/>
      <c r="C712" s="35"/>
      <c r="D712" s="3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7" t="str">
        <f t="shared" si="1"/>
        <v>-</v>
      </c>
      <c r="Q712" s="35"/>
      <c r="R712" s="35"/>
    </row>
    <row r="713" ht="19.5" customHeight="1">
      <c r="A713" s="38"/>
      <c r="B713" s="39"/>
      <c r="C713" s="39"/>
      <c r="D713" s="39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1" t="str">
        <f t="shared" si="1"/>
        <v>-</v>
      </c>
      <c r="Q713" s="39"/>
      <c r="R713" s="39"/>
    </row>
    <row r="714" ht="19.5" customHeight="1">
      <c r="A714" s="34"/>
      <c r="B714" s="35"/>
      <c r="C714" s="35"/>
      <c r="D714" s="3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7" t="str">
        <f t="shared" si="1"/>
        <v>-</v>
      </c>
      <c r="Q714" s="35"/>
      <c r="R714" s="35"/>
    </row>
    <row r="715" ht="19.5" customHeight="1">
      <c r="A715" s="38"/>
      <c r="B715" s="39"/>
      <c r="C715" s="39"/>
      <c r="D715" s="39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1" t="str">
        <f t="shared" si="1"/>
        <v>-</v>
      </c>
      <c r="Q715" s="39"/>
      <c r="R715" s="39"/>
    </row>
    <row r="716" ht="19.5" customHeight="1">
      <c r="A716" s="34"/>
      <c r="B716" s="35"/>
      <c r="C716" s="35"/>
      <c r="D716" s="3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7" t="str">
        <f t="shared" si="1"/>
        <v>-</v>
      </c>
      <c r="Q716" s="35"/>
      <c r="R716" s="35"/>
    </row>
    <row r="717" ht="19.5" customHeight="1">
      <c r="A717" s="38"/>
      <c r="B717" s="39"/>
      <c r="C717" s="39"/>
      <c r="D717" s="39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1" t="str">
        <f t="shared" si="1"/>
        <v>-</v>
      </c>
      <c r="Q717" s="39"/>
      <c r="R717" s="39"/>
    </row>
    <row r="718" ht="19.5" customHeight="1">
      <c r="A718" s="34"/>
      <c r="B718" s="35"/>
      <c r="C718" s="35"/>
      <c r="D718" s="3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7" t="str">
        <f t="shared" si="1"/>
        <v>-</v>
      </c>
      <c r="Q718" s="35"/>
      <c r="R718" s="35"/>
    </row>
    <row r="719" ht="19.5" customHeight="1">
      <c r="A719" s="38"/>
      <c r="B719" s="39"/>
      <c r="C719" s="39"/>
      <c r="D719" s="39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1" t="str">
        <f t="shared" si="1"/>
        <v>-</v>
      </c>
      <c r="Q719" s="39"/>
      <c r="R719" s="39"/>
    </row>
    <row r="720" ht="19.5" customHeight="1">
      <c r="A720" s="34"/>
      <c r="B720" s="35"/>
      <c r="C720" s="35"/>
      <c r="D720" s="3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7" t="str">
        <f t="shared" si="1"/>
        <v>-</v>
      </c>
      <c r="Q720" s="35"/>
      <c r="R720" s="35"/>
    </row>
    <row r="721" ht="19.5" customHeight="1">
      <c r="A721" s="38"/>
      <c r="B721" s="39"/>
      <c r="C721" s="39"/>
      <c r="D721" s="39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1" t="str">
        <f t="shared" si="1"/>
        <v>-</v>
      </c>
      <c r="Q721" s="39"/>
      <c r="R721" s="39"/>
    </row>
    <row r="722" ht="19.5" customHeight="1">
      <c r="A722" s="34"/>
      <c r="B722" s="35"/>
      <c r="C722" s="35"/>
      <c r="D722" s="3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7" t="str">
        <f t="shared" si="1"/>
        <v>-</v>
      </c>
      <c r="Q722" s="35"/>
      <c r="R722" s="35"/>
    </row>
    <row r="723" ht="19.5" customHeight="1">
      <c r="A723" s="38"/>
      <c r="B723" s="39"/>
      <c r="C723" s="39"/>
      <c r="D723" s="39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1" t="str">
        <f t="shared" si="1"/>
        <v>-</v>
      </c>
      <c r="Q723" s="39"/>
      <c r="R723" s="39"/>
    </row>
    <row r="724" ht="19.5" customHeight="1">
      <c r="A724" s="34"/>
      <c r="B724" s="35"/>
      <c r="C724" s="35"/>
      <c r="D724" s="3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7" t="str">
        <f t="shared" si="1"/>
        <v>-</v>
      </c>
      <c r="Q724" s="35"/>
      <c r="R724" s="35"/>
    </row>
    <row r="725" ht="19.5" customHeight="1">
      <c r="A725" s="38"/>
      <c r="B725" s="39"/>
      <c r="C725" s="39"/>
      <c r="D725" s="39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1" t="str">
        <f t="shared" si="1"/>
        <v>-</v>
      </c>
      <c r="Q725" s="39"/>
      <c r="R725" s="39"/>
    </row>
    <row r="726" ht="19.5" customHeight="1">
      <c r="A726" s="34"/>
      <c r="B726" s="35"/>
      <c r="C726" s="35"/>
      <c r="D726" s="3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7" t="str">
        <f t="shared" si="1"/>
        <v>-</v>
      </c>
      <c r="Q726" s="35"/>
      <c r="R726" s="35"/>
    </row>
    <row r="727" ht="19.5" customHeight="1">
      <c r="A727" s="38"/>
      <c r="B727" s="39"/>
      <c r="C727" s="39"/>
      <c r="D727" s="39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1" t="str">
        <f t="shared" si="1"/>
        <v>-</v>
      </c>
      <c r="Q727" s="39"/>
      <c r="R727" s="39"/>
    </row>
    <row r="728" ht="19.5" customHeight="1">
      <c r="A728" s="34"/>
      <c r="B728" s="35"/>
      <c r="C728" s="35"/>
      <c r="D728" s="3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7" t="str">
        <f t="shared" si="1"/>
        <v>-</v>
      </c>
      <c r="Q728" s="35"/>
      <c r="R728" s="35"/>
    </row>
    <row r="729" ht="19.5" customHeight="1">
      <c r="A729" s="38"/>
      <c r="B729" s="39"/>
      <c r="C729" s="39"/>
      <c r="D729" s="39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1" t="str">
        <f t="shared" si="1"/>
        <v>-</v>
      </c>
      <c r="Q729" s="39"/>
      <c r="R729" s="39"/>
    </row>
    <row r="730" ht="19.5" customHeight="1">
      <c r="A730" s="34"/>
      <c r="B730" s="35"/>
      <c r="C730" s="35"/>
      <c r="D730" s="3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7" t="str">
        <f t="shared" si="1"/>
        <v>-</v>
      </c>
      <c r="Q730" s="35"/>
      <c r="R730" s="35"/>
    </row>
    <row r="731" ht="19.5" customHeight="1">
      <c r="A731" s="38"/>
      <c r="B731" s="39"/>
      <c r="C731" s="39"/>
      <c r="D731" s="39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1" t="str">
        <f t="shared" si="1"/>
        <v>-</v>
      </c>
      <c r="Q731" s="39"/>
      <c r="R731" s="39"/>
    </row>
    <row r="732" ht="19.5" customHeight="1">
      <c r="A732" s="34"/>
      <c r="B732" s="35"/>
      <c r="C732" s="35"/>
      <c r="D732" s="3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7" t="str">
        <f t="shared" si="1"/>
        <v>-</v>
      </c>
      <c r="Q732" s="35"/>
      <c r="R732" s="35"/>
    </row>
    <row r="733" ht="19.5" customHeight="1">
      <c r="A733" s="38"/>
      <c r="B733" s="39"/>
      <c r="C733" s="39"/>
      <c r="D733" s="39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1" t="str">
        <f t="shared" si="1"/>
        <v>-</v>
      </c>
      <c r="Q733" s="39"/>
      <c r="R733" s="39"/>
    </row>
    <row r="734" ht="19.5" customHeight="1">
      <c r="A734" s="34"/>
      <c r="B734" s="35"/>
      <c r="C734" s="35"/>
      <c r="D734" s="3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7" t="str">
        <f t="shared" si="1"/>
        <v>-</v>
      </c>
      <c r="Q734" s="35"/>
      <c r="R734" s="35"/>
    </row>
    <row r="735" ht="19.5" customHeight="1">
      <c r="A735" s="38"/>
      <c r="B735" s="39"/>
      <c r="C735" s="39"/>
      <c r="D735" s="39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1" t="str">
        <f t="shared" si="1"/>
        <v>-</v>
      </c>
      <c r="Q735" s="39"/>
      <c r="R735" s="39"/>
    </row>
    <row r="736" ht="19.5" customHeight="1">
      <c r="A736" s="34"/>
      <c r="B736" s="35"/>
      <c r="C736" s="35"/>
      <c r="D736" s="3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7" t="str">
        <f t="shared" si="1"/>
        <v>-</v>
      </c>
      <c r="Q736" s="35"/>
      <c r="R736" s="35"/>
    </row>
    <row r="737" ht="19.5" customHeight="1">
      <c r="A737" s="38"/>
      <c r="B737" s="39"/>
      <c r="C737" s="39"/>
      <c r="D737" s="39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1" t="str">
        <f t="shared" si="1"/>
        <v>-</v>
      </c>
      <c r="Q737" s="39"/>
      <c r="R737" s="39"/>
    </row>
    <row r="738" ht="19.5" customHeight="1">
      <c r="A738" s="34"/>
      <c r="B738" s="35"/>
      <c r="C738" s="35"/>
      <c r="D738" s="3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7" t="str">
        <f t="shared" si="1"/>
        <v>-</v>
      </c>
      <c r="Q738" s="35"/>
      <c r="R738" s="35"/>
    </row>
    <row r="739" ht="19.5" customHeight="1">
      <c r="A739" s="38"/>
      <c r="B739" s="39"/>
      <c r="C739" s="39"/>
      <c r="D739" s="39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1" t="str">
        <f t="shared" si="1"/>
        <v>-</v>
      </c>
      <c r="Q739" s="39"/>
      <c r="R739" s="39"/>
    </row>
    <row r="740" ht="19.5" customHeight="1">
      <c r="A740" s="34"/>
      <c r="B740" s="35"/>
      <c r="C740" s="35"/>
      <c r="D740" s="3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7" t="str">
        <f t="shared" si="1"/>
        <v>-</v>
      </c>
      <c r="Q740" s="35"/>
      <c r="R740" s="35"/>
    </row>
    <row r="741" ht="19.5" customHeight="1">
      <c r="A741" s="38"/>
      <c r="B741" s="39"/>
      <c r="C741" s="39"/>
      <c r="D741" s="39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1" t="str">
        <f t="shared" si="1"/>
        <v>-</v>
      </c>
      <c r="Q741" s="39"/>
      <c r="R741" s="39"/>
    </row>
    <row r="742" ht="19.5" customHeight="1">
      <c r="A742" s="34"/>
      <c r="B742" s="35"/>
      <c r="C742" s="35"/>
      <c r="D742" s="3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7" t="str">
        <f t="shared" si="1"/>
        <v>-</v>
      </c>
      <c r="Q742" s="35"/>
      <c r="R742" s="35"/>
    </row>
    <row r="743" ht="19.5" customHeight="1">
      <c r="A743" s="38"/>
      <c r="B743" s="39"/>
      <c r="C743" s="39"/>
      <c r="D743" s="39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1" t="str">
        <f t="shared" si="1"/>
        <v>-</v>
      </c>
      <c r="Q743" s="39"/>
      <c r="R743" s="39"/>
    </row>
    <row r="744" ht="19.5" customHeight="1">
      <c r="A744" s="34"/>
      <c r="B744" s="35"/>
      <c r="C744" s="35"/>
      <c r="D744" s="3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7" t="str">
        <f t="shared" si="1"/>
        <v>-</v>
      </c>
      <c r="Q744" s="35"/>
      <c r="R744" s="35"/>
    </row>
    <row r="745" ht="19.5" customHeight="1">
      <c r="A745" s="38"/>
      <c r="B745" s="39"/>
      <c r="C745" s="39"/>
      <c r="D745" s="39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1" t="str">
        <f t="shared" si="1"/>
        <v>-</v>
      </c>
      <c r="Q745" s="39"/>
      <c r="R745" s="39"/>
    </row>
    <row r="746" ht="19.5" customHeight="1">
      <c r="A746" s="34"/>
      <c r="B746" s="35"/>
      <c r="C746" s="35"/>
      <c r="D746" s="3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7" t="str">
        <f t="shared" si="1"/>
        <v>-</v>
      </c>
      <c r="Q746" s="35"/>
      <c r="R746" s="35"/>
    </row>
    <row r="747" ht="19.5" customHeight="1">
      <c r="A747" s="38"/>
      <c r="B747" s="39"/>
      <c r="C747" s="39"/>
      <c r="D747" s="39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1" t="str">
        <f t="shared" si="1"/>
        <v>-</v>
      </c>
      <c r="Q747" s="39"/>
      <c r="R747" s="39"/>
    </row>
    <row r="748" ht="19.5" customHeight="1">
      <c r="A748" s="34"/>
      <c r="B748" s="35"/>
      <c r="C748" s="35"/>
      <c r="D748" s="3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7" t="str">
        <f t="shared" si="1"/>
        <v>-</v>
      </c>
      <c r="Q748" s="35"/>
      <c r="R748" s="35"/>
    </row>
    <row r="749" ht="19.5" customHeight="1">
      <c r="A749" s="38"/>
      <c r="B749" s="39"/>
      <c r="C749" s="39"/>
      <c r="D749" s="39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1" t="str">
        <f t="shared" si="1"/>
        <v>-</v>
      </c>
      <c r="Q749" s="39"/>
      <c r="R749" s="39"/>
    </row>
    <row r="750" ht="19.5" customHeight="1">
      <c r="A750" s="34"/>
      <c r="B750" s="35"/>
      <c r="C750" s="35"/>
      <c r="D750" s="3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7" t="str">
        <f t="shared" si="1"/>
        <v>-</v>
      </c>
      <c r="Q750" s="35"/>
      <c r="R750" s="35"/>
    </row>
    <row r="751" ht="19.5" customHeight="1">
      <c r="A751" s="38"/>
      <c r="B751" s="39"/>
      <c r="C751" s="39"/>
      <c r="D751" s="39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1" t="str">
        <f t="shared" si="1"/>
        <v>-</v>
      </c>
      <c r="Q751" s="39"/>
      <c r="R751" s="39"/>
    </row>
    <row r="752" ht="19.5" customHeight="1">
      <c r="A752" s="34"/>
      <c r="B752" s="35"/>
      <c r="C752" s="35"/>
      <c r="D752" s="3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7" t="str">
        <f t="shared" si="1"/>
        <v>-</v>
      </c>
      <c r="Q752" s="35"/>
      <c r="R752" s="35"/>
    </row>
    <row r="753" ht="19.5" customHeight="1">
      <c r="A753" s="38"/>
      <c r="B753" s="39"/>
      <c r="C753" s="39"/>
      <c r="D753" s="39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1" t="str">
        <f t="shared" si="1"/>
        <v>-</v>
      </c>
      <c r="Q753" s="39"/>
      <c r="R753" s="39"/>
    </row>
    <row r="754" ht="19.5" customHeight="1">
      <c r="A754" s="34"/>
      <c r="B754" s="35"/>
      <c r="C754" s="35"/>
      <c r="D754" s="3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7" t="str">
        <f t="shared" si="1"/>
        <v>-</v>
      </c>
      <c r="Q754" s="35"/>
      <c r="R754" s="35"/>
    </row>
    <row r="755" ht="19.5" customHeight="1">
      <c r="A755" s="38"/>
      <c r="B755" s="39"/>
      <c r="C755" s="39"/>
      <c r="D755" s="39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1" t="str">
        <f t="shared" si="1"/>
        <v>-</v>
      </c>
      <c r="Q755" s="39"/>
      <c r="R755" s="39"/>
    </row>
    <row r="756" ht="19.5" customHeight="1">
      <c r="A756" s="34"/>
      <c r="B756" s="35"/>
      <c r="C756" s="35"/>
      <c r="D756" s="3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7" t="str">
        <f t="shared" si="1"/>
        <v>-</v>
      </c>
      <c r="Q756" s="35"/>
      <c r="R756" s="35"/>
    </row>
    <row r="757" ht="19.5" customHeight="1">
      <c r="A757" s="38"/>
      <c r="B757" s="39"/>
      <c r="C757" s="39"/>
      <c r="D757" s="39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1" t="str">
        <f t="shared" si="1"/>
        <v>-</v>
      </c>
      <c r="Q757" s="39"/>
      <c r="R757" s="39"/>
    </row>
    <row r="758" ht="19.5" customHeight="1">
      <c r="A758" s="34"/>
      <c r="B758" s="35"/>
      <c r="C758" s="35"/>
      <c r="D758" s="3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7" t="str">
        <f t="shared" si="1"/>
        <v>-</v>
      </c>
      <c r="Q758" s="35"/>
      <c r="R758" s="35"/>
    </row>
    <row r="759" ht="19.5" customHeight="1">
      <c r="A759" s="38"/>
      <c r="B759" s="39"/>
      <c r="C759" s="39"/>
      <c r="D759" s="39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1" t="str">
        <f t="shared" si="1"/>
        <v>-</v>
      </c>
      <c r="Q759" s="39"/>
      <c r="R759" s="39"/>
    </row>
    <row r="760" ht="19.5" customHeight="1">
      <c r="A760" s="34"/>
      <c r="B760" s="35"/>
      <c r="C760" s="35"/>
      <c r="D760" s="3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7" t="str">
        <f t="shared" si="1"/>
        <v>-</v>
      </c>
      <c r="Q760" s="35"/>
      <c r="R760" s="35"/>
    </row>
    <row r="761" ht="19.5" customHeight="1">
      <c r="A761" s="38"/>
      <c r="B761" s="39"/>
      <c r="C761" s="39"/>
      <c r="D761" s="39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1" t="str">
        <f t="shared" si="1"/>
        <v>-</v>
      </c>
      <c r="Q761" s="39"/>
      <c r="R761" s="39"/>
    </row>
    <row r="762" ht="19.5" customHeight="1">
      <c r="A762" s="34"/>
      <c r="B762" s="35"/>
      <c r="C762" s="35"/>
      <c r="D762" s="3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7" t="str">
        <f t="shared" si="1"/>
        <v>-</v>
      </c>
      <c r="Q762" s="35"/>
      <c r="R762" s="35"/>
    </row>
    <row r="763" ht="19.5" customHeight="1">
      <c r="A763" s="38"/>
      <c r="B763" s="39"/>
      <c r="C763" s="39"/>
      <c r="D763" s="39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1" t="str">
        <f t="shared" si="1"/>
        <v>-</v>
      </c>
      <c r="Q763" s="39"/>
      <c r="R763" s="39"/>
    </row>
    <row r="764" ht="19.5" customHeight="1">
      <c r="A764" s="34"/>
      <c r="B764" s="35"/>
      <c r="C764" s="35"/>
      <c r="D764" s="3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7" t="str">
        <f t="shared" si="1"/>
        <v>-</v>
      </c>
      <c r="Q764" s="35"/>
      <c r="R764" s="35"/>
    </row>
    <row r="765" ht="19.5" customHeight="1">
      <c r="A765" s="38"/>
      <c r="B765" s="39"/>
      <c r="C765" s="39"/>
      <c r="D765" s="39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1" t="str">
        <f t="shared" si="1"/>
        <v>-</v>
      </c>
      <c r="Q765" s="39"/>
      <c r="R765" s="39"/>
    </row>
    <row r="766" ht="19.5" customHeight="1">
      <c r="A766" s="34"/>
      <c r="B766" s="35"/>
      <c r="C766" s="35"/>
      <c r="D766" s="3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7" t="str">
        <f t="shared" si="1"/>
        <v>-</v>
      </c>
      <c r="Q766" s="35"/>
      <c r="R766" s="35"/>
    </row>
    <row r="767" ht="19.5" customHeight="1">
      <c r="A767" s="38"/>
      <c r="B767" s="39"/>
      <c r="C767" s="39"/>
      <c r="D767" s="39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1" t="str">
        <f t="shared" si="1"/>
        <v>-</v>
      </c>
      <c r="Q767" s="39"/>
      <c r="R767" s="39"/>
    </row>
    <row r="768" ht="19.5" customHeight="1">
      <c r="A768" s="34"/>
      <c r="B768" s="35"/>
      <c r="C768" s="35"/>
      <c r="D768" s="3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7" t="str">
        <f t="shared" si="1"/>
        <v>-</v>
      </c>
      <c r="Q768" s="35"/>
      <c r="R768" s="35"/>
    </row>
    <row r="769" ht="19.5" customHeight="1">
      <c r="A769" s="38"/>
      <c r="B769" s="39"/>
      <c r="C769" s="39"/>
      <c r="D769" s="39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1" t="str">
        <f t="shared" si="1"/>
        <v>-</v>
      </c>
      <c r="Q769" s="39"/>
      <c r="R769" s="39"/>
    </row>
    <row r="770" ht="19.5" customHeight="1">
      <c r="A770" s="34"/>
      <c r="B770" s="35"/>
      <c r="C770" s="35"/>
      <c r="D770" s="3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7" t="str">
        <f t="shared" si="1"/>
        <v>-</v>
      </c>
      <c r="Q770" s="35"/>
      <c r="R770" s="35"/>
    </row>
    <row r="771" ht="19.5" customHeight="1">
      <c r="A771" s="38"/>
      <c r="B771" s="39"/>
      <c r="C771" s="39"/>
      <c r="D771" s="39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1" t="str">
        <f t="shared" si="1"/>
        <v>-</v>
      </c>
      <c r="Q771" s="39"/>
      <c r="R771" s="39"/>
    </row>
    <row r="772" ht="19.5" customHeight="1">
      <c r="A772" s="34"/>
      <c r="B772" s="35"/>
      <c r="C772" s="35"/>
      <c r="D772" s="3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7" t="str">
        <f t="shared" si="1"/>
        <v>-</v>
      </c>
      <c r="Q772" s="35"/>
      <c r="R772" s="35"/>
    </row>
    <row r="773" ht="19.5" customHeight="1">
      <c r="A773" s="38"/>
      <c r="B773" s="39"/>
      <c r="C773" s="39"/>
      <c r="D773" s="39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1" t="str">
        <f t="shared" si="1"/>
        <v>-</v>
      </c>
      <c r="Q773" s="39"/>
      <c r="R773" s="39"/>
    </row>
    <row r="774" ht="19.5" customHeight="1">
      <c r="A774" s="34"/>
      <c r="B774" s="35"/>
      <c r="C774" s="35"/>
      <c r="D774" s="3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7" t="str">
        <f t="shared" si="1"/>
        <v>-</v>
      </c>
      <c r="Q774" s="35"/>
      <c r="R774" s="35"/>
    </row>
    <row r="775" ht="19.5" customHeight="1">
      <c r="A775" s="38"/>
      <c r="B775" s="39"/>
      <c r="C775" s="39"/>
      <c r="D775" s="39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1" t="str">
        <f t="shared" si="1"/>
        <v>-</v>
      </c>
      <c r="Q775" s="39"/>
      <c r="R775" s="39"/>
    </row>
    <row r="776" ht="19.5" customHeight="1">
      <c r="A776" s="34"/>
      <c r="B776" s="35"/>
      <c r="C776" s="35"/>
      <c r="D776" s="3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7" t="str">
        <f t="shared" si="1"/>
        <v>-</v>
      </c>
      <c r="Q776" s="35"/>
      <c r="R776" s="35"/>
    </row>
    <row r="777" ht="19.5" customHeight="1">
      <c r="A777" s="38"/>
      <c r="B777" s="39"/>
      <c r="C777" s="39"/>
      <c r="D777" s="39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1" t="str">
        <f t="shared" si="1"/>
        <v>-</v>
      </c>
      <c r="Q777" s="39"/>
      <c r="R777" s="39"/>
    </row>
    <row r="778" ht="19.5" customHeight="1">
      <c r="A778" s="34"/>
      <c r="B778" s="35"/>
      <c r="C778" s="35"/>
      <c r="D778" s="3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7" t="str">
        <f t="shared" si="1"/>
        <v>-</v>
      </c>
      <c r="Q778" s="35"/>
      <c r="R778" s="35"/>
    </row>
    <row r="779" ht="19.5" customHeight="1">
      <c r="A779" s="38"/>
      <c r="B779" s="39"/>
      <c r="C779" s="39"/>
      <c r="D779" s="39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1" t="str">
        <f t="shared" si="1"/>
        <v>-</v>
      </c>
      <c r="Q779" s="39"/>
      <c r="R779" s="39"/>
    </row>
    <row r="780" ht="19.5" customHeight="1">
      <c r="A780" s="34"/>
      <c r="B780" s="35"/>
      <c r="C780" s="35"/>
      <c r="D780" s="3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7" t="str">
        <f t="shared" si="1"/>
        <v>-</v>
      </c>
      <c r="Q780" s="35"/>
      <c r="R780" s="35"/>
    </row>
    <row r="781" ht="19.5" customHeight="1">
      <c r="A781" s="38"/>
      <c r="B781" s="39"/>
      <c r="C781" s="39"/>
      <c r="D781" s="39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1" t="str">
        <f t="shared" si="1"/>
        <v>-</v>
      </c>
      <c r="Q781" s="39"/>
      <c r="R781" s="39"/>
    </row>
    <row r="782" ht="19.5" customHeight="1">
      <c r="A782" s="34"/>
      <c r="B782" s="35"/>
      <c r="C782" s="35"/>
      <c r="D782" s="3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7" t="str">
        <f t="shared" si="1"/>
        <v>-</v>
      </c>
      <c r="Q782" s="35"/>
      <c r="R782" s="35"/>
    </row>
    <row r="783" ht="19.5" customHeight="1">
      <c r="A783" s="38"/>
      <c r="B783" s="39"/>
      <c r="C783" s="39"/>
      <c r="D783" s="39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1" t="str">
        <f t="shared" si="1"/>
        <v>-</v>
      </c>
      <c r="Q783" s="39"/>
      <c r="R783" s="39"/>
    </row>
    <row r="784" ht="19.5" customHeight="1">
      <c r="A784" s="34"/>
      <c r="B784" s="35"/>
      <c r="C784" s="35"/>
      <c r="D784" s="3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7" t="str">
        <f t="shared" si="1"/>
        <v>-</v>
      </c>
      <c r="Q784" s="35"/>
      <c r="R784" s="35"/>
    </row>
    <row r="785" ht="19.5" customHeight="1">
      <c r="A785" s="38"/>
      <c r="B785" s="39"/>
      <c r="C785" s="39"/>
      <c r="D785" s="39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1" t="str">
        <f t="shared" si="1"/>
        <v>-</v>
      </c>
      <c r="Q785" s="39"/>
      <c r="R785" s="39"/>
    </row>
    <row r="786" ht="19.5" customHeight="1">
      <c r="A786" s="34"/>
      <c r="B786" s="35"/>
      <c r="C786" s="35"/>
      <c r="D786" s="3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7" t="str">
        <f t="shared" si="1"/>
        <v>-</v>
      </c>
      <c r="Q786" s="35"/>
      <c r="R786" s="35"/>
    </row>
    <row r="787" ht="19.5" customHeight="1">
      <c r="A787" s="38"/>
      <c r="B787" s="39"/>
      <c r="C787" s="39"/>
      <c r="D787" s="39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1" t="str">
        <f t="shared" si="1"/>
        <v>-</v>
      </c>
      <c r="Q787" s="39"/>
      <c r="R787" s="39"/>
    </row>
    <row r="788" ht="19.5" customHeight="1">
      <c r="A788" s="34"/>
      <c r="B788" s="35"/>
      <c r="C788" s="35"/>
      <c r="D788" s="3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7" t="str">
        <f t="shared" si="1"/>
        <v>-</v>
      </c>
      <c r="Q788" s="35"/>
      <c r="R788" s="35"/>
    </row>
    <row r="789" ht="19.5" customHeight="1">
      <c r="A789" s="38"/>
      <c r="B789" s="39"/>
      <c r="C789" s="39"/>
      <c r="D789" s="39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1" t="str">
        <f t="shared" si="1"/>
        <v>-</v>
      </c>
      <c r="Q789" s="39"/>
      <c r="R789" s="39"/>
    </row>
    <row r="790" ht="19.5" customHeight="1">
      <c r="A790" s="34"/>
      <c r="B790" s="35"/>
      <c r="C790" s="35"/>
      <c r="D790" s="3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7" t="str">
        <f t="shared" si="1"/>
        <v>-</v>
      </c>
      <c r="Q790" s="35"/>
      <c r="R790" s="35"/>
    </row>
    <row r="791" ht="19.5" customHeight="1">
      <c r="A791" s="38"/>
      <c r="B791" s="39"/>
      <c r="C791" s="39"/>
      <c r="D791" s="39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1" t="str">
        <f t="shared" si="1"/>
        <v>-</v>
      </c>
      <c r="Q791" s="39"/>
      <c r="R791" s="39"/>
    </row>
    <row r="792" ht="19.5" customHeight="1">
      <c r="A792" s="34"/>
      <c r="B792" s="35"/>
      <c r="C792" s="35"/>
      <c r="D792" s="3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7" t="str">
        <f t="shared" si="1"/>
        <v>-</v>
      </c>
      <c r="Q792" s="35"/>
      <c r="R792" s="35"/>
    </row>
    <row r="793" ht="19.5" customHeight="1">
      <c r="A793" s="38"/>
      <c r="B793" s="39"/>
      <c r="C793" s="39"/>
      <c r="D793" s="39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1" t="str">
        <f t="shared" si="1"/>
        <v>-</v>
      </c>
      <c r="Q793" s="39"/>
      <c r="R793" s="39"/>
    </row>
    <row r="794" ht="19.5" customHeight="1">
      <c r="A794" s="34"/>
      <c r="B794" s="35"/>
      <c r="C794" s="35"/>
      <c r="D794" s="3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7" t="str">
        <f t="shared" si="1"/>
        <v>-</v>
      </c>
      <c r="Q794" s="35"/>
      <c r="R794" s="35"/>
    </row>
    <row r="795" ht="19.5" customHeight="1">
      <c r="A795" s="38"/>
      <c r="B795" s="39"/>
      <c r="C795" s="39"/>
      <c r="D795" s="39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1" t="str">
        <f t="shared" si="1"/>
        <v>-</v>
      </c>
      <c r="Q795" s="39"/>
      <c r="R795" s="39"/>
    </row>
    <row r="796" ht="19.5" customHeight="1">
      <c r="A796" s="34"/>
      <c r="B796" s="35"/>
      <c r="C796" s="35"/>
      <c r="D796" s="3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7" t="str">
        <f t="shared" si="1"/>
        <v>-</v>
      </c>
      <c r="Q796" s="35"/>
      <c r="R796" s="35"/>
    </row>
    <row r="797" ht="19.5" customHeight="1">
      <c r="A797" s="38"/>
      <c r="B797" s="39"/>
      <c r="C797" s="39"/>
      <c r="D797" s="39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1" t="str">
        <f t="shared" si="1"/>
        <v>-</v>
      </c>
      <c r="Q797" s="39"/>
      <c r="R797" s="39"/>
    </row>
    <row r="798" ht="19.5" customHeight="1">
      <c r="A798" s="34"/>
      <c r="B798" s="35"/>
      <c r="C798" s="35"/>
      <c r="D798" s="3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7" t="str">
        <f t="shared" si="1"/>
        <v>-</v>
      </c>
      <c r="Q798" s="35"/>
      <c r="R798" s="35"/>
    </row>
    <row r="799" ht="19.5" customHeight="1">
      <c r="A799" s="38"/>
      <c r="B799" s="39"/>
      <c r="C799" s="39"/>
      <c r="D799" s="39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1" t="str">
        <f t="shared" si="1"/>
        <v>-</v>
      </c>
      <c r="Q799" s="39"/>
      <c r="R799" s="39"/>
    </row>
    <row r="800" ht="19.5" customHeight="1">
      <c r="A800" s="34"/>
      <c r="B800" s="35"/>
      <c r="C800" s="35"/>
      <c r="D800" s="3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7" t="str">
        <f t="shared" si="1"/>
        <v>-</v>
      </c>
      <c r="Q800" s="35"/>
      <c r="R800" s="35"/>
    </row>
    <row r="801" ht="19.5" customHeight="1">
      <c r="A801" s="38"/>
      <c r="B801" s="39"/>
      <c r="C801" s="39"/>
      <c r="D801" s="39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1" t="str">
        <f t="shared" si="1"/>
        <v>-</v>
      </c>
      <c r="Q801" s="39"/>
      <c r="R801" s="39"/>
    </row>
    <row r="802" ht="19.5" customHeight="1">
      <c r="A802" s="34"/>
      <c r="B802" s="35"/>
      <c r="C802" s="35"/>
      <c r="D802" s="3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7" t="str">
        <f t="shared" si="1"/>
        <v>-</v>
      </c>
      <c r="Q802" s="35"/>
      <c r="R802" s="35"/>
    </row>
    <row r="803" ht="19.5" customHeight="1">
      <c r="A803" s="38"/>
      <c r="B803" s="39"/>
      <c r="C803" s="39"/>
      <c r="D803" s="39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1" t="str">
        <f t="shared" si="1"/>
        <v>-</v>
      </c>
      <c r="Q803" s="39"/>
      <c r="R803" s="39"/>
    </row>
    <row r="804" ht="19.5" customHeight="1">
      <c r="A804" s="34"/>
      <c r="B804" s="35"/>
      <c r="C804" s="35"/>
      <c r="D804" s="3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7" t="str">
        <f t="shared" si="1"/>
        <v>-</v>
      </c>
      <c r="Q804" s="35"/>
      <c r="R804" s="35"/>
    </row>
    <row r="805" ht="19.5" customHeight="1">
      <c r="A805" s="38"/>
      <c r="B805" s="39"/>
      <c r="C805" s="39"/>
      <c r="D805" s="39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1" t="str">
        <f t="shared" si="1"/>
        <v>-</v>
      </c>
      <c r="Q805" s="39"/>
      <c r="R805" s="39"/>
    </row>
    <row r="806" ht="19.5" customHeight="1">
      <c r="A806" s="34"/>
      <c r="B806" s="35"/>
      <c r="C806" s="35"/>
      <c r="D806" s="3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7" t="str">
        <f t="shared" si="1"/>
        <v>-</v>
      </c>
      <c r="Q806" s="35"/>
      <c r="R806" s="35"/>
    </row>
    <row r="807" ht="19.5" customHeight="1">
      <c r="A807" s="38"/>
      <c r="B807" s="39"/>
      <c r="C807" s="39"/>
      <c r="D807" s="39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1" t="str">
        <f t="shared" si="1"/>
        <v>-</v>
      </c>
      <c r="Q807" s="39"/>
      <c r="R807" s="39"/>
    </row>
    <row r="808" ht="19.5" customHeight="1">
      <c r="A808" s="34"/>
      <c r="B808" s="35"/>
      <c r="C808" s="35"/>
      <c r="D808" s="3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7" t="str">
        <f t="shared" si="1"/>
        <v>-</v>
      </c>
      <c r="Q808" s="35"/>
      <c r="R808" s="35"/>
    </row>
    <row r="809" ht="19.5" customHeight="1">
      <c r="A809" s="38"/>
      <c r="B809" s="39"/>
      <c r="C809" s="39"/>
      <c r="D809" s="39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1" t="str">
        <f t="shared" si="1"/>
        <v>-</v>
      </c>
      <c r="Q809" s="39"/>
      <c r="R809" s="39"/>
    </row>
    <row r="810" ht="19.5" customHeight="1">
      <c r="A810" s="34"/>
      <c r="B810" s="35"/>
      <c r="C810" s="35"/>
      <c r="D810" s="3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7" t="str">
        <f t="shared" si="1"/>
        <v>-</v>
      </c>
      <c r="Q810" s="35"/>
      <c r="R810" s="35"/>
    </row>
    <row r="811" ht="19.5" customHeight="1">
      <c r="A811" s="38"/>
      <c r="B811" s="39"/>
      <c r="C811" s="39"/>
      <c r="D811" s="39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1" t="str">
        <f t="shared" si="1"/>
        <v>-</v>
      </c>
      <c r="Q811" s="39"/>
      <c r="R811" s="39"/>
    </row>
    <row r="812" ht="19.5" customHeight="1">
      <c r="A812" s="34"/>
      <c r="B812" s="35"/>
      <c r="C812" s="35"/>
      <c r="D812" s="3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7" t="str">
        <f t="shared" si="1"/>
        <v>-</v>
      </c>
      <c r="Q812" s="35"/>
      <c r="R812" s="35"/>
    </row>
    <row r="813" ht="19.5" customHeight="1">
      <c r="A813" s="38"/>
      <c r="B813" s="39"/>
      <c r="C813" s="39"/>
      <c r="D813" s="39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1" t="str">
        <f t="shared" si="1"/>
        <v>-</v>
      </c>
      <c r="Q813" s="39"/>
      <c r="R813" s="39"/>
    </row>
    <row r="814" ht="19.5" customHeight="1">
      <c r="A814" s="34"/>
      <c r="B814" s="35"/>
      <c r="C814" s="35"/>
      <c r="D814" s="3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7" t="str">
        <f t="shared" si="1"/>
        <v>-</v>
      </c>
      <c r="Q814" s="35"/>
      <c r="R814" s="35"/>
    </row>
    <row r="815" ht="19.5" customHeight="1">
      <c r="A815" s="38"/>
      <c r="B815" s="39"/>
      <c r="C815" s="39"/>
      <c r="D815" s="39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1" t="str">
        <f t="shared" si="1"/>
        <v>-</v>
      </c>
      <c r="Q815" s="39"/>
      <c r="R815" s="39"/>
    </row>
    <row r="816" ht="19.5" customHeight="1">
      <c r="A816" s="34"/>
      <c r="B816" s="35"/>
      <c r="C816" s="35"/>
      <c r="D816" s="3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7" t="str">
        <f t="shared" si="1"/>
        <v>-</v>
      </c>
      <c r="Q816" s="35"/>
      <c r="R816" s="35"/>
    </row>
    <row r="817" ht="19.5" customHeight="1">
      <c r="A817" s="38"/>
      <c r="B817" s="39"/>
      <c r="C817" s="39"/>
      <c r="D817" s="39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1" t="str">
        <f t="shared" si="1"/>
        <v>-</v>
      </c>
      <c r="Q817" s="39"/>
      <c r="R817" s="39"/>
    </row>
    <row r="818" ht="19.5" customHeight="1">
      <c r="A818" s="34"/>
      <c r="B818" s="35"/>
      <c r="C818" s="35"/>
      <c r="D818" s="3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7" t="str">
        <f t="shared" si="1"/>
        <v>-</v>
      </c>
      <c r="Q818" s="35"/>
      <c r="R818" s="35"/>
    </row>
    <row r="819" ht="19.5" customHeight="1">
      <c r="A819" s="38"/>
      <c r="B819" s="39"/>
      <c r="C819" s="39"/>
      <c r="D819" s="39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1" t="str">
        <f t="shared" si="1"/>
        <v>-</v>
      </c>
      <c r="Q819" s="39"/>
      <c r="R819" s="39"/>
    </row>
    <row r="820" ht="19.5" customHeight="1">
      <c r="A820" s="34"/>
      <c r="B820" s="35"/>
      <c r="C820" s="35"/>
      <c r="D820" s="3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7" t="str">
        <f t="shared" si="1"/>
        <v>-</v>
      </c>
      <c r="Q820" s="35"/>
      <c r="R820" s="35"/>
    </row>
    <row r="821" ht="19.5" customHeight="1">
      <c r="A821" s="38"/>
      <c r="B821" s="39"/>
      <c r="C821" s="39"/>
      <c r="D821" s="39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1" t="str">
        <f t="shared" si="1"/>
        <v>-</v>
      </c>
      <c r="Q821" s="39"/>
      <c r="R821" s="39"/>
    </row>
    <row r="822" ht="19.5" customHeight="1">
      <c r="A822" s="34"/>
      <c r="B822" s="35"/>
      <c r="C822" s="35"/>
      <c r="D822" s="3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7" t="str">
        <f t="shared" si="1"/>
        <v>-</v>
      </c>
      <c r="Q822" s="35"/>
      <c r="R822" s="35"/>
    </row>
    <row r="823" ht="19.5" customHeight="1">
      <c r="A823" s="38"/>
      <c r="B823" s="39"/>
      <c r="C823" s="39"/>
      <c r="D823" s="39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1" t="str">
        <f t="shared" si="1"/>
        <v>-</v>
      </c>
      <c r="Q823" s="39"/>
      <c r="R823" s="39"/>
    </row>
    <row r="824" ht="19.5" customHeight="1">
      <c r="A824" s="34"/>
      <c r="B824" s="35"/>
      <c r="C824" s="35"/>
      <c r="D824" s="3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7" t="str">
        <f t="shared" si="1"/>
        <v>-</v>
      </c>
      <c r="Q824" s="35"/>
      <c r="R824" s="35"/>
    </row>
    <row r="825" ht="19.5" customHeight="1">
      <c r="A825" s="38"/>
      <c r="B825" s="39"/>
      <c r="C825" s="39"/>
      <c r="D825" s="39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1" t="str">
        <f t="shared" si="1"/>
        <v>-</v>
      </c>
      <c r="Q825" s="39"/>
      <c r="R825" s="39"/>
    </row>
    <row r="826" ht="19.5" customHeight="1">
      <c r="A826" s="34"/>
      <c r="B826" s="35"/>
      <c r="C826" s="35"/>
      <c r="D826" s="3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7" t="str">
        <f t="shared" si="1"/>
        <v>-</v>
      </c>
      <c r="Q826" s="35"/>
      <c r="R826" s="35"/>
    </row>
    <row r="827" ht="19.5" customHeight="1">
      <c r="A827" s="38"/>
      <c r="B827" s="39"/>
      <c r="C827" s="39"/>
      <c r="D827" s="39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1" t="str">
        <f t="shared" si="1"/>
        <v>-</v>
      </c>
      <c r="Q827" s="39"/>
      <c r="R827" s="39"/>
    </row>
    <row r="828" ht="19.5" customHeight="1">
      <c r="A828" s="34"/>
      <c r="B828" s="35"/>
      <c r="C828" s="35"/>
      <c r="D828" s="3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7" t="str">
        <f t="shared" si="1"/>
        <v>-</v>
      </c>
      <c r="Q828" s="35"/>
      <c r="R828" s="35"/>
    </row>
    <row r="829" ht="19.5" customHeight="1">
      <c r="A829" s="38"/>
      <c r="B829" s="39"/>
      <c r="C829" s="39"/>
      <c r="D829" s="39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1" t="str">
        <f t="shared" si="1"/>
        <v>-</v>
      </c>
      <c r="Q829" s="39"/>
      <c r="R829" s="39"/>
    </row>
    <row r="830" ht="19.5" customHeight="1">
      <c r="A830" s="34"/>
      <c r="B830" s="35"/>
      <c r="C830" s="35"/>
      <c r="D830" s="3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7" t="str">
        <f t="shared" si="1"/>
        <v>-</v>
      </c>
      <c r="Q830" s="35"/>
      <c r="R830" s="35"/>
    </row>
    <row r="831" ht="19.5" customHeight="1">
      <c r="A831" s="38"/>
      <c r="B831" s="39"/>
      <c r="C831" s="39"/>
      <c r="D831" s="39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1" t="str">
        <f t="shared" si="1"/>
        <v>-</v>
      </c>
      <c r="Q831" s="39"/>
      <c r="R831" s="39"/>
    </row>
    <row r="832" ht="19.5" customHeight="1">
      <c r="A832" s="34"/>
      <c r="B832" s="35"/>
      <c r="C832" s="35"/>
      <c r="D832" s="3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7" t="str">
        <f t="shared" si="1"/>
        <v>-</v>
      </c>
      <c r="Q832" s="35"/>
      <c r="R832" s="35"/>
    </row>
    <row r="833" ht="19.5" customHeight="1">
      <c r="A833" s="38"/>
      <c r="B833" s="39"/>
      <c r="C833" s="39"/>
      <c r="D833" s="39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1" t="str">
        <f t="shared" si="1"/>
        <v>-</v>
      </c>
      <c r="Q833" s="39"/>
      <c r="R833" s="39"/>
    </row>
    <row r="834" ht="19.5" customHeight="1">
      <c r="A834" s="34"/>
      <c r="B834" s="35"/>
      <c r="C834" s="35"/>
      <c r="D834" s="3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7" t="str">
        <f t="shared" si="1"/>
        <v>-</v>
      </c>
      <c r="Q834" s="35"/>
      <c r="R834" s="35"/>
    </row>
    <row r="835" ht="19.5" customHeight="1">
      <c r="A835" s="38"/>
      <c r="B835" s="39"/>
      <c r="C835" s="39"/>
      <c r="D835" s="39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1" t="str">
        <f t="shared" si="1"/>
        <v>-</v>
      </c>
      <c r="Q835" s="39"/>
      <c r="R835" s="39"/>
    </row>
    <row r="836" ht="19.5" customHeight="1">
      <c r="A836" s="34"/>
      <c r="B836" s="35"/>
      <c r="C836" s="35"/>
      <c r="D836" s="3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7" t="str">
        <f t="shared" si="1"/>
        <v>-</v>
      </c>
      <c r="Q836" s="35"/>
      <c r="R836" s="35"/>
    </row>
    <row r="837" ht="19.5" customHeight="1">
      <c r="A837" s="38"/>
      <c r="B837" s="39"/>
      <c r="C837" s="39"/>
      <c r="D837" s="39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1" t="str">
        <f t="shared" si="1"/>
        <v>-</v>
      </c>
      <c r="Q837" s="39"/>
      <c r="R837" s="39"/>
    </row>
    <row r="838" ht="19.5" customHeight="1">
      <c r="A838" s="34"/>
      <c r="B838" s="35"/>
      <c r="C838" s="35"/>
      <c r="D838" s="3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7" t="str">
        <f t="shared" si="1"/>
        <v>-</v>
      </c>
      <c r="Q838" s="35"/>
      <c r="R838" s="35"/>
    </row>
    <row r="839" ht="19.5" customHeight="1">
      <c r="A839" s="38"/>
      <c r="B839" s="39"/>
      <c r="C839" s="39"/>
      <c r="D839" s="39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1" t="str">
        <f t="shared" si="1"/>
        <v>-</v>
      </c>
      <c r="Q839" s="39"/>
      <c r="R839" s="39"/>
    </row>
    <row r="840" ht="19.5" customHeight="1">
      <c r="A840" s="34"/>
      <c r="B840" s="35"/>
      <c r="C840" s="35"/>
      <c r="D840" s="3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7" t="str">
        <f t="shared" si="1"/>
        <v>-</v>
      </c>
      <c r="Q840" s="35"/>
      <c r="R840" s="35"/>
    </row>
    <row r="841" ht="19.5" customHeight="1">
      <c r="A841" s="38"/>
      <c r="B841" s="39"/>
      <c r="C841" s="39"/>
      <c r="D841" s="39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1" t="str">
        <f t="shared" si="1"/>
        <v>-</v>
      </c>
      <c r="Q841" s="39"/>
      <c r="R841" s="39"/>
    </row>
    <row r="842" ht="19.5" customHeight="1">
      <c r="A842" s="34"/>
      <c r="B842" s="35"/>
      <c r="C842" s="35"/>
      <c r="D842" s="3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7" t="str">
        <f t="shared" si="1"/>
        <v>-</v>
      </c>
      <c r="Q842" s="35"/>
      <c r="R842" s="35"/>
    </row>
    <row r="843" ht="19.5" customHeight="1">
      <c r="A843" s="38"/>
      <c r="B843" s="39"/>
      <c r="C843" s="39"/>
      <c r="D843" s="39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1" t="str">
        <f t="shared" si="1"/>
        <v>-</v>
      </c>
      <c r="Q843" s="39"/>
      <c r="R843" s="39"/>
    </row>
    <row r="844" ht="19.5" customHeight="1">
      <c r="A844" s="34"/>
      <c r="B844" s="35"/>
      <c r="C844" s="35"/>
      <c r="D844" s="3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7" t="str">
        <f t="shared" si="1"/>
        <v>-</v>
      </c>
      <c r="Q844" s="35"/>
      <c r="R844" s="35"/>
    </row>
    <row r="845" ht="19.5" customHeight="1">
      <c r="A845" s="38"/>
      <c r="B845" s="39"/>
      <c r="C845" s="39"/>
      <c r="D845" s="39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1" t="str">
        <f t="shared" si="1"/>
        <v>-</v>
      </c>
      <c r="Q845" s="39"/>
      <c r="R845" s="39"/>
    </row>
    <row r="846" ht="19.5" customHeight="1">
      <c r="A846" s="34"/>
      <c r="B846" s="35"/>
      <c r="C846" s="35"/>
      <c r="D846" s="3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7" t="str">
        <f t="shared" si="1"/>
        <v>-</v>
      </c>
      <c r="Q846" s="35"/>
      <c r="R846" s="35"/>
    </row>
    <row r="847" ht="19.5" customHeight="1">
      <c r="A847" s="38"/>
      <c r="B847" s="39"/>
      <c r="C847" s="39"/>
      <c r="D847" s="39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1" t="str">
        <f t="shared" si="1"/>
        <v>-</v>
      </c>
      <c r="Q847" s="39"/>
      <c r="R847" s="39"/>
    </row>
    <row r="848" ht="19.5" customHeight="1">
      <c r="A848" s="34"/>
      <c r="B848" s="35"/>
      <c r="C848" s="35"/>
      <c r="D848" s="3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7" t="str">
        <f t="shared" si="1"/>
        <v>-</v>
      </c>
      <c r="Q848" s="35"/>
      <c r="R848" s="35"/>
    </row>
    <row r="849" ht="19.5" customHeight="1">
      <c r="A849" s="38"/>
      <c r="B849" s="39"/>
      <c r="C849" s="39"/>
      <c r="D849" s="39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1" t="str">
        <f t="shared" si="1"/>
        <v>-</v>
      </c>
      <c r="Q849" s="39"/>
      <c r="R849" s="39"/>
    </row>
    <row r="850" ht="19.5" customHeight="1">
      <c r="A850" s="34"/>
      <c r="B850" s="35"/>
      <c r="C850" s="35"/>
      <c r="D850" s="3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7" t="str">
        <f t="shared" si="1"/>
        <v>-</v>
      </c>
      <c r="Q850" s="35"/>
      <c r="R850" s="35"/>
    </row>
    <row r="851" ht="19.5" customHeight="1">
      <c r="A851" s="38"/>
      <c r="B851" s="39"/>
      <c r="C851" s="39"/>
      <c r="D851" s="39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1" t="str">
        <f t="shared" si="1"/>
        <v>-</v>
      </c>
      <c r="Q851" s="39"/>
      <c r="R851" s="39"/>
    </row>
    <row r="852" ht="19.5" customHeight="1">
      <c r="A852" s="34"/>
      <c r="B852" s="35"/>
      <c r="C852" s="35"/>
      <c r="D852" s="3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7" t="str">
        <f t="shared" si="1"/>
        <v>-</v>
      </c>
      <c r="Q852" s="35"/>
      <c r="R852" s="35"/>
    </row>
    <row r="853" ht="19.5" customHeight="1">
      <c r="A853" s="38"/>
      <c r="B853" s="39"/>
      <c r="C853" s="39"/>
      <c r="D853" s="39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1" t="str">
        <f t="shared" si="1"/>
        <v>-</v>
      </c>
      <c r="Q853" s="39"/>
      <c r="R853" s="39"/>
    </row>
    <row r="854" ht="19.5" customHeight="1">
      <c r="A854" s="34"/>
      <c r="B854" s="35"/>
      <c r="C854" s="35"/>
      <c r="D854" s="3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7" t="str">
        <f t="shared" si="1"/>
        <v>-</v>
      </c>
      <c r="Q854" s="35"/>
      <c r="R854" s="35"/>
    </row>
    <row r="855" ht="19.5" customHeight="1">
      <c r="A855" s="38"/>
      <c r="B855" s="39"/>
      <c r="C855" s="39"/>
      <c r="D855" s="39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1" t="str">
        <f t="shared" si="1"/>
        <v>-</v>
      </c>
      <c r="Q855" s="39"/>
      <c r="R855" s="39"/>
    </row>
    <row r="856" ht="19.5" customHeight="1">
      <c r="A856" s="34"/>
      <c r="B856" s="35"/>
      <c r="C856" s="35"/>
      <c r="D856" s="3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7" t="str">
        <f t="shared" si="1"/>
        <v>-</v>
      </c>
      <c r="Q856" s="35"/>
      <c r="R856" s="35"/>
    </row>
    <row r="857" ht="19.5" customHeight="1">
      <c r="A857" s="38"/>
      <c r="B857" s="39"/>
      <c r="C857" s="39"/>
      <c r="D857" s="39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1" t="str">
        <f t="shared" si="1"/>
        <v>-</v>
      </c>
      <c r="Q857" s="39"/>
      <c r="R857" s="39"/>
    </row>
    <row r="858" ht="19.5" customHeight="1">
      <c r="A858" s="34"/>
      <c r="B858" s="35"/>
      <c r="C858" s="35"/>
      <c r="D858" s="3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7" t="str">
        <f t="shared" si="1"/>
        <v>-</v>
      </c>
      <c r="Q858" s="35"/>
      <c r="R858" s="35"/>
    </row>
    <row r="859" ht="19.5" customHeight="1">
      <c r="A859" s="38"/>
      <c r="B859" s="39"/>
      <c r="C859" s="39"/>
      <c r="D859" s="39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1" t="str">
        <f t="shared" si="1"/>
        <v>-</v>
      </c>
      <c r="Q859" s="39"/>
      <c r="R859" s="39"/>
    </row>
    <row r="860" ht="19.5" customHeight="1">
      <c r="A860" s="34"/>
      <c r="B860" s="35"/>
      <c r="C860" s="35"/>
      <c r="D860" s="3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7" t="str">
        <f t="shared" si="1"/>
        <v>-</v>
      </c>
      <c r="Q860" s="35"/>
      <c r="R860" s="35"/>
    </row>
    <row r="861" ht="19.5" customHeight="1">
      <c r="A861" s="38"/>
      <c r="B861" s="39"/>
      <c r="C861" s="39"/>
      <c r="D861" s="39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1" t="str">
        <f t="shared" si="1"/>
        <v>-</v>
      </c>
      <c r="Q861" s="39"/>
      <c r="R861" s="39"/>
    </row>
    <row r="862" ht="19.5" customHeight="1">
      <c r="A862" s="34"/>
      <c r="B862" s="35"/>
      <c r="C862" s="35"/>
      <c r="D862" s="3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7" t="str">
        <f t="shared" si="1"/>
        <v>-</v>
      </c>
      <c r="Q862" s="35"/>
      <c r="R862" s="35"/>
    </row>
    <row r="863" ht="19.5" customHeight="1">
      <c r="A863" s="38"/>
      <c r="B863" s="39"/>
      <c r="C863" s="39"/>
      <c r="D863" s="39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1" t="str">
        <f t="shared" si="1"/>
        <v>-</v>
      </c>
      <c r="Q863" s="39"/>
      <c r="R863" s="39"/>
    </row>
    <row r="864" ht="19.5" customHeight="1">
      <c r="A864" s="34"/>
      <c r="B864" s="35"/>
      <c r="C864" s="35"/>
      <c r="D864" s="3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7" t="str">
        <f t="shared" si="1"/>
        <v>-</v>
      </c>
      <c r="Q864" s="35"/>
      <c r="R864" s="35"/>
    </row>
    <row r="865" ht="19.5" customHeight="1">
      <c r="A865" s="38"/>
      <c r="B865" s="39"/>
      <c r="C865" s="39"/>
      <c r="D865" s="39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1" t="str">
        <f t="shared" si="1"/>
        <v>-</v>
      </c>
      <c r="Q865" s="39"/>
      <c r="R865" s="39"/>
    </row>
    <row r="866" ht="19.5" customHeight="1">
      <c r="A866" s="34"/>
      <c r="B866" s="35"/>
      <c r="C866" s="35"/>
      <c r="D866" s="3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7" t="str">
        <f t="shared" si="1"/>
        <v>-</v>
      </c>
      <c r="Q866" s="35"/>
      <c r="R866" s="35"/>
    </row>
    <row r="867" ht="19.5" customHeight="1">
      <c r="A867" s="38"/>
      <c r="B867" s="39"/>
      <c r="C867" s="39"/>
      <c r="D867" s="39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1" t="str">
        <f t="shared" si="1"/>
        <v>-</v>
      </c>
      <c r="Q867" s="39"/>
      <c r="R867" s="39"/>
    </row>
    <row r="868" ht="19.5" customHeight="1">
      <c r="A868" s="34"/>
      <c r="B868" s="35"/>
      <c r="C868" s="35"/>
      <c r="D868" s="3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7" t="str">
        <f t="shared" si="1"/>
        <v>-</v>
      </c>
      <c r="Q868" s="35"/>
      <c r="R868" s="35"/>
    </row>
    <row r="869" ht="19.5" customHeight="1">
      <c r="A869" s="38"/>
      <c r="B869" s="39"/>
      <c r="C869" s="39"/>
      <c r="D869" s="39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1" t="str">
        <f t="shared" si="1"/>
        <v>-</v>
      </c>
      <c r="Q869" s="39"/>
      <c r="R869" s="39"/>
    </row>
    <row r="870" ht="19.5" customHeight="1">
      <c r="A870" s="34"/>
      <c r="B870" s="35"/>
      <c r="C870" s="35"/>
      <c r="D870" s="3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7" t="str">
        <f t="shared" si="1"/>
        <v>-</v>
      </c>
      <c r="Q870" s="35"/>
      <c r="R870" s="35"/>
    </row>
    <row r="871" ht="19.5" customHeight="1">
      <c r="A871" s="38"/>
      <c r="B871" s="39"/>
      <c r="C871" s="39"/>
      <c r="D871" s="39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1" t="str">
        <f t="shared" si="1"/>
        <v>-</v>
      </c>
      <c r="Q871" s="39"/>
      <c r="R871" s="39"/>
    </row>
    <row r="872" ht="19.5" customHeight="1">
      <c r="A872" s="34"/>
      <c r="B872" s="35"/>
      <c r="C872" s="35"/>
      <c r="D872" s="3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7" t="str">
        <f t="shared" si="1"/>
        <v>-</v>
      </c>
      <c r="Q872" s="35"/>
      <c r="R872" s="35"/>
    </row>
    <row r="873" ht="19.5" customHeight="1">
      <c r="A873" s="38"/>
      <c r="B873" s="39"/>
      <c r="C873" s="39"/>
      <c r="D873" s="39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1" t="str">
        <f t="shared" si="1"/>
        <v>-</v>
      </c>
      <c r="Q873" s="39"/>
      <c r="R873" s="39"/>
    </row>
    <row r="874" ht="19.5" customHeight="1">
      <c r="A874" s="34"/>
      <c r="B874" s="35"/>
      <c r="C874" s="35"/>
      <c r="D874" s="3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7" t="str">
        <f t="shared" si="1"/>
        <v>-</v>
      </c>
      <c r="Q874" s="35"/>
      <c r="R874" s="35"/>
    </row>
    <row r="875" ht="19.5" customHeight="1">
      <c r="A875" s="38"/>
      <c r="B875" s="39"/>
      <c r="C875" s="39"/>
      <c r="D875" s="39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1" t="str">
        <f t="shared" si="1"/>
        <v>-</v>
      </c>
      <c r="Q875" s="39"/>
      <c r="R875" s="39"/>
    </row>
    <row r="876" ht="19.5" customHeight="1">
      <c r="A876" s="34"/>
      <c r="B876" s="35"/>
      <c r="C876" s="35"/>
      <c r="D876" s="3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7" t="str">
        <f t="shared" si="1"/>
        <v>-</v>
      </c>
      <c r="Q876" s="35"/>
      <c r="R876" s="35"/>
    </row>
    <row r="877" ht="19.5" customHeight="1">
      <c r="A877" s="38"/>
      <c r="B877" s="39"/>
      <c r="C877" s="39"/>
      <c r="D877" s="39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1" t="str">
        <f t="shared" si="1"/>
        <v>-</v>
      </c>
      <c r="Q877" s="39"/>
      <c r="R877" s="39"/>
    </row>
    <row r="878" ht="19.5" customHeight="1">
      <c r="A878" s="34"/>
      <c r="B878" s="35"/>
      <c r="C878" s="35"/>
      <c r="D878" s="3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7" t="str">
        <f t="shared" si="1"/>
        <v>-</v>
      </c>
      <c r="Q878" s="35"/>
      <c r="R878" s="35"/>
    </row>
    <row r="879" ht="19.5" customHeight="1">
      <c r="A879" s="38"/>
      <c r="B879" s="39"/>
      <c r="C879" s="39"/>
      <c r="D879" s="39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1" t="str">
        <f t="shared" si="1"/>
        <v>-</v>
      </c>
      <c r="Q879" s="39"/>
      <c r="R879" s="39"/>
    </row>
    <row r="880" ht="19.5" customHeight="1">
      <c r="A880" s="34"/>
      <c r="B880" s="35"/>
      <c r="C880" s="35"/>
      <c r="D880" s="3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7" t="str">
        <f t="shared" si="1"/>
        <v>-</v>
      </c>
      <c r="Q880" s="35"/>
      <c r="R880" s="35"/>
    </row>
    <row r="881" ht="19.5" customHeight="1">
      <c r="A881" s="38"/>
      <c r="B881" s="39"/>
      <c r="C881" s="39"/>
      <c r="D881" s="39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1" t="str">
        <f t="shared" si="1"/>
        <v>-</v>
      </c>
      <c r="Q881" s="39"/>
      <c r="R881" s="39"/>
    </row>
    <row r="882" ht="19.5" customHeight="1">
      <c r="A882" s="34"/>
      <c r="B882" s="35"/>
      <c r="C882" s="35"/>
      <c r="D882" s="3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7" t="str">
        <f t="shared" si="1"/>
        <v>-</v>
      </c>
      <c r="Q882" s="35"/>
      <c r="R882" s="35"/>
    </row>
    <row r="883" ht="19.5" customHeight="1">
      <c r="A883" s="38"/>
      <c r="B883" s="39"/>
      <c r="C883" s="39"/>
      <c r="D883" s="39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1" t="str">
        <f t="shared" si="1"/>
        <v>-</v>
      </c>
      <c r="Q883" s="39"/>
      <c r="R883" s="39"/>
    </row>
    <row r="884" ht="19.5" customHeight="1">
      <c r="A884" s="34"/>
      <c r="B884" s="35"/>
      <c r="C884" s="35"/>
      <c r="D884" s="3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7" t="str">
        <f t="shared" si="1"/>
        <v>-</v>
      </c>
      <c r="Q884" s="35"/>
      <c r="R884" s="35"/>
    </row>
    <row r="885" ht="19.5" customHeight="1">
      <c r="A885" s="38"/>
      <c r="B885" s="39"/>
      <c r="C885" s="39"/>
      <c r="D885" s="39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1" t="str">
        <f t="shared" si="1"/>
        <v>-</v>
      </c>
      <c r="Q885" s="39"/>
      <c r="R885" s="39"/>
    </row>
    <row r="886" ht="19.5" customHeight="1">
      <c r="A886" s="34"/>
      <c r="B886" s="35"/>
      <c r="C886" s="35"/>
      <c r="D886" s="3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7" t="str">
        <f t="shared" si="1"/>
        <v>-</v>
      </c>
      <c r="Q886" s="35"/>
      <c r="R886" s="35"/>
    </row>
    <row r="887" ht="19.5" customHeight="1">
      <c r="A887" s="38"/>
      <c r="B887" s="39"/>
      <c r="C887" s="39"/>
      <c r="D887" s="39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1" t="str">
        <f t="shared" si="1"/>
        <v>-</v>
      </c>
      <c r="Q887" s="39"/>
      <c r="R887" s="39"/>
    </row>
    <row r="888" ht="19.5" customHeight="1">
      <c r="A888" s="34"/>
      <c r="B888" s="35"/>
      <c r="C888" s="35"/>
      <c r="D888" s="3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7" t="str">
        <f t="shared" si="1"/>
        <v>-</v>
      </c>
      <c r="Q888" s="35"/>
      <c r="R888" s="35"/>
    </row>
    <row r="889" ht="19.5" customHeight="1">
      <c r="A889" s="38"/>
      <c r="B889" s="39"/>
      <c r="C889" s="39"/>
      <c r="D889" s="39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1" t="str">
        <f t="shared" si="1"/>
        <v>-</v>
      </c>
      <c r="Q889" s="39"/>
      <c r="R889" s="39"/>
    </row>
    <row r="890" ht="19.5" customHeight="1">
      <c r="A890" s="34"/>
      <c r="B890" s="35"/>
      <c r="C890" s="35"/>
      <c r="D890" s="3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7" t="str">
        <f t="shared" si="1"/>
        <v>-</v>
      </c>
      <c r="Q890" s="35"/>
      <c r="R890" s="35"/>
    </row>
    <row r="891" ht="19.5" customHeight="1">
      <c r="A891" s="38"/>
      <c r="B891" s="39"/>
      <c r="C891" s="39"/>
      <c r="D891" s="39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1" t="str">
        <f t="shared" si="1"/>
        <v>-</v>
      </c>
      <c r="Q891" s="39"/>
      <c r="R891" s="39"/>
    </row>
    <row r="892" ht="19.5" customHeight="1">
      <c r="A892" s="34"/>
      <c r="B892" s="35"/>
      <c r="C892" s="35"/>
      <c r="D892" s="3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7" t="str">
        <f t="shared" si="1"/>
        <v>-</v>
      </c>
      <c r="Q892" s="35"/>
      <c r="R892" s="35"/>
    </row>
    <row r="893" ht="19.5" customHeight="1">
      <c r="A893" s="38"/>
      <c r="B893" s="39"/>
      <c r="C893" s="39"/>
      <c r="D893" s="39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1" t="str">
        <f t="shared" si="1"/>
        <v>-</v>
      </c>
      <c r="Q893" s="39"/>
      <c r="R893" s="39"/>
    </row>
    <row r="894" ht="19.5" customHeight="1">
      <c r="A894" s="34"/>
      <c r="B894" s="35"/>
      <c r="C894" s="35"/>
      <c r="D894" s="3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7" t="str">
        <f t="shared" si="1"/>
        <v>-</v>
      </c>
      <c r="Q894" s="35"/>
      <c r="R894" s="35"/>
    </row>
    <row r="895" ht="19.5" customHeight="1">
      <c r="A895" s="38"/>
      <c r="B895" s="39"/>
      <c r="C895" s="39"/>
      <c r="D895" s="39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1" t="str">
        <f t="shared" si="1"/>
        <v>-</v>
      </c>
      <c r="Q895" s="39"/>
      <c r="R895" s="39"/>
    </row>
    <row r="896" ht="19.5" customHeight="1">
      <c r="A896" s="34"/>
      <c r="B896" s="35"/>
      <c r="C896" s="35"/>
      <c r="D896" s="3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7" t="str">
        <f t="shared" si="1"/>
        <v>-</v>
      </c>
      <c r="Q896" s="35"/>
      <c r="R896" s="35"/>
    </row>
    <row r="897" ht="19.5" customHeight="1">
      <c r="A897" s="38"/>
      <c r="B897" s="39"/>
      <c r="C897" s="39"/>
      <c r="D897" s="39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1" t="str">
        <f t="shared" si="1"/>
        <v>-</v>
      </c>
      <c r="Q897" s="39"/>
      <c r="R897" s="39"/>
    </row>
    <row r="898" ht="19.5" customHeight="1">
      <c r="A898" s="34"/>
      <c r="B898" s="35"/>
      <c r="C898" s="35"/>
      <c r="D898" s="3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7" t="str">
        <f t="shared" si="1"/>
        <v>-</v>
      </c>
      <c r="Q898" s="35"/>
      <c r="R898" s="35"/>
    </row>
    <row r="899" ht="19.5" customHeight="1">
      <c r="A899" s="38"/>
      <c r="B899" s="39"/>
      <c r="C899" s="39"/>
      <c r="D899" s="39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1" t="str">
        <f t="shared" si="1"/>
        <v>-</v>
      </c>
      <c r="Q899" s="39"/>
      <c r="R899" s="39"/>
    </row>
    <row r="900" ht="19.5" customHeight="1">
      <c r="A900" s="34"/>
      <c r="B900" s="35"/>
      <c r="C900" s="35"/>
      <c r="D900" s="3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7" t="str">
        <f t="shared" si="1"/>
        <v>-</v>
      </c>
      <c r="Q900" s="35"/>
      <c r="R900" s="35"/>
    </row>
    <row r="901" ht="19.5" customHeight="1">
      <c r="A901" s="38"/>
      <c r="B901" s="39"/>
      <c r="C901" s="39"/>
      <c r="D901" s="39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1" t="str">
        <f t="shared" si="1"/>
        <v>-</v>
      </c>
      <c r="Q901" s="39"/>
      <c r="R901" s="39"/>
    </row>
    <row r="902" ht="19.5" customHeight="1">
      <c r="A902" s="34"/>
      <c r="B902" s="35"/>
      <c r="C902" s="35"/>
      <c r="D902" s="3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7" t="str">
        <f t="shared" si="1"/>
        <v>-</v>
      </c>
      <c r="Q902" s="35"/>
      <c r="R902" s="35"/>
    </row>
    <row r="903" ht="19.5" customHeight="1">
      <c r="A903" s="38"/>
      <c r="B903" s="39"/>
      <c r="C903" s="39"/>
      <c r="D903" s="39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1" t="str">
        <f t="shared" si="1"/>
        <v>-</v>
      </c>
      <c r="Q903" s="39"/>
      <c r="R903" s="39"/>
    </row>
    <row r="904" ht="19.5" customHeight="1">
      <c r="A904" s="34"/>
      <c r="B904" s="35"/>
      <c r="C904" s="35"/>
      <c r="D904" s="3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7" t="str">
        <f t="shared" si="1"/>
        <v>-</v>
      </c>
      <c r="Q904" s="35"/>
      <c r="R904" s="35"/>
    </row>
    <row r="905" ht="19.5" customHeight="1">
      <c r="A905" s="38"/>
      <c r="B905" s="39"/>
      <c r="C905" s="39"/>
      <c r="D905" s="39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1" t="str">
        <f t="shared" si="1"/>
        <v>-</v>
      </c>
      <c r="Q905" s="39"/>
      <c r="R905" s="39"/>
    </row>
    <row r="906" ht="19.5" customHeight="1">
      <c r="A906" s="34"/>
      <c r="B906" s="35"/>
      <c r="C906" s="35"/>
      <c r="D906" s="3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7" t="str">
        <f t="shared" si="1"/>
        <v>-</v>
      </c>
      <c r="Q906" s="35"/>
      <c r="R906" s="35"/>
    </row>
    <row r="907" ht="19.5" customHeight="1">
      <c r="A907" s="38"/>
      <c r="B907" s="39"/>
      <c r="C907" s="39"/>
      <c r="D907" s="39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1" t="str">
        <f t="shared" si="1"/>
        <v>-</v>
      </c>
      <c r="Q907" s="39"/>
      <c r="R907" s="39"/>
    </row>
    <row r="908" ht="19.5" customHeight="1">
      <c r="A908" s="34"/>
      <c r="B908" s="35"/>
      <c r="C908" s="35"/>
      <c r="D908" s="3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7" t="str">
        <f t="shared" si="1"/>
        <v>-</v>
      </c>
      <c r="Q908" s="35"/>
      <c r="R908" s="35"/>
    </row>
    <row r="909" ht="19.5" customHeight="1">
      <c r="A909" s="38"/>
      <c r="B909" s="39"/>
      <c r="C909" s="39"/>
      <c r="D909" s="39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1" t="str">
        <f t="shared" si="1"/>
        <v>-</v>
      </c>
      <c r="Q909" s="39"/>
      <c r="R909" s="39"/>
    </row>
    <row r="910" ht="19.5" customHeight="1">
      <c r="A910" s="34"/>
      <c r="B910" s="35"/>
      <c r="C910" s="35"/>
      <c r="D910" s="3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7" t="str">
        <f t="shared" si="1"/>
        <v>-</v>
      </c>
      <c r="Q910" s="35"/>
      <c r="R910" s="35"/>
    </row>
    <row r="911" ht="19.5" customHeight="1">
      <c r="A911" s="38"/>
      <c r="B911" s="39"/>
      <c r="C911" s="39"/>
      <c r="D911" s="39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1" t="str">
        <f t="shared" si="1"/>
        <v>-</v>
      </c>
      <c r="Q911" s="39"/>
      <c r="R911" s="39"/>
    </row>
    <row r="912" ht="19.5" customHeight="1">
      <c r="A912" s="34"/>
      <c r="B912" s="35"/>
      <c r="C912" s="35"/>
      <c r="D912" s="3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7" t="str">
        <f t="shared" si="1"/>
        <v>-</v>
      </c>
      <c r="Q912" s="35"/>
      <c r="R912" s="35"/>
    </row>
    <row r="913" ht="19.5" customHeight="1">
      <c r="A913" s="38"/>
      <c r="B913" s="39"/>
      <c r="C913" s="39"/>
      <c r="D913" s="39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1" t="str">
        <f t="shared" si="1"/>
        <v>-</v>
      </c>
      <c r="Q913" s="39"/>
      <c r="R913" s="39"/>
    </row>
    <row r="914" ht="19.5" customHeight="1">
      <c r="A914" s="34"/>
      <c r="B914" s="35"/>
      <c r="C914" s="35"/>
      <c r="D914" s="3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7" t="str">
        <f t="shared" si="1"/>
        <v>-</v>
      </c>
      <c r="Q914" s="35"/>
      <c r="R914" s="35"/>
    </row>
    <row r="915" ht="19.5" customHeight="1">
      <c r="A915" s="38"/>
      <c r="B915" s="39"/>
      <c r="C915" s="39"/>
      <c r="D915" s="39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1" t="str">
        <f t="shared" si="1"/>
        <v>-</v>
      </c>
      <c r="Q915" s="39"/>
      <c r="R915" s="39"/>
    </row>
    <row r="916" ht="19.5" customHeight="1">
      <c r="A916" s="34"/>
      <c r="B916" s="35"/>
      <c r="C916" s="35"/>
      <c r="D916" s="3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7" t="str">
        <f t="shared" si="1"/>
        <v>-</v>
      </c>
      <c r="Q916" s="35"/>
      <c r="R916" s="35"/>
    </row>
    <row r="917" ht="19.5" customHeight="1">
      <c r="A917" s="38"/>
      <c r="B917" s="39"/>
      <c r="C917" s="39"/>
      <c r="D917" s="39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1" t="str">
        <f t="shared" si="1"/>
        <v>-</v>
      </c>
      <c r="Q917" s="39"/>
      <c r="R917" s="39"/>
    </row>
    <row r="918" ht="19.5" customHeight="1">
      <c r="A918" s="34"/>
      <c r="B918" s="35"/>
      <c r="C918" s="35"/>
      <c r="D918" s="3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7" t="str">
        <f t="shared" si="1"/>
        <v>-</v>
      </c>
      <c r="Q918" s="35"/>
      <c r="R918" s="35"/>
    </row>
    <row r="919" ht="19.5" customHeight="1">
      <c r="A919" s="38"/>
      <c r="B919" s="39"/>
      <c r="C919" s="39"/>
      <c r="D919" s="39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1" t="str">
        <f t="shared" si="1"/>
        <v>-</v>
      </c>
      <c r="Q919" s="39"/>
      <c r="R919" s="39"/>
    </row>
    <row r="920" ht="19.5" customHeight="1">
      <c r="A920" s="34"/>
      <c r="B920" s="35"/>
      <c r="C920" s="35"/>
      <c r="D920" s="3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7" t="str">
        <f t="shared" si="1"/>
        <v>-</v>
      </c>
      <c r="Q920" s="35"/>
      <c r="R920" s="35"/>
    </row>
    <row r="921" ht="19.5" customHeight="1">
      <c r="A921" s="38"/>
      <c r="B921" s="39"/>
      <c r="C921" s="39"/>
      <c r="D921" s="39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1" t="str">
        <f t="shared" si="1"/>
        <v>-</v>
      </c>
      <c r="Q921" s="39"/>
      <c r="R921" s="39"/>
    </row>
    <row r="922" ht="19.5" customHeight="1">
      <c r="A922" s="34"/>
      <c r="B922" s="35"/>
      <c r="C922" s="35"/>
      <c r="D922" s="3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7" t="str">
        <f t="shared" si="1"/>
        <v>-</v>
      </c>
      <c r="Q922" s="35"/>
      <c r="R922" s="35"/>
    </row>
    <row r="923" ht="19.5" customHeight="1">
      <c r="A923" s="38"/>
      <c r="B923" s="39"/>
      <c r="C923" s="39"/>
      <c r="D923" s="39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1" t="str">
        <f t="shared" si="1"/>
        <v>-</v>
      </c>
      <c r="Q923" s="39"/>
      <c r="R923" s="39"/>
    </row>
    <row r="924" ht="19.5" customHeight="1">
      <c r="A924" s="34"/>
      <c r="B924" s="35"/>
      <c r="C924" s="35"/>
      <c r="D924" s="3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7" t="str">
        <f t="shared" si="1"/>
        <v>-</v>
      </c>
      <c r="Q924" s="35"/>
      <c r="R924" s="35"/>
    </row>
    <row r="925" ht="19.5" customHeight="1">
      <c r="A925" s="38"/>
      <c r="B925" s="39"/>
      <c r="C925" s="39"/>
      <c r="D925" s="39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1" t="str">
        <f t="shared" si="1"/>
        <v>-</v>
      </c>
      <c r="Q925" s="39"/>
      <c r="R925" s="39"/>
    </row>
    <row r="926" ht="19.5" customHeight="1">
      <c r="A926" s="34"/>
      <c r="B926" s="35"/>
      <c r="C926" s="35"/>
      <c r="D926" s="3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7" t="str">
        <f t="shared" si="1"/>
        <v>-</v>
      </c>
      <c r="Q926" s="35"/>
      <c r="R926" s="35"/>
    </row>
    <row r="927" ht="19.5" customHeight="1">
      <c r="A927" s="38"/>
      <c r="B927" s="39"/>
      <c r="C927" s="39"/>
      <c r="D927" s="39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1" t="str">
        <f t="shared" si="1"/>
        <v>-</v>
      </c>
      <c r="Q927" s="39"/>
      <c r="R927" s="39"/>
    </row>
    <row r="928" ht="19.5" customHeight="1">
      <c r="A928" s="34"/>
      <c r="B928" s="35"/>
      <c r="C928" s="35"/>
      <c r="D928" s="3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7" t="str">
        <f t="shared" si="1"/>
        <v>-</v>
      </c>
      <c r="Q928" s="35"/>
      <c r="R928" s="35"/>
    </row>
    <row r="929" ht="19.5" customHeight="1">
      <c r="A929" s="38"/>
      <c r="B929" s="39"/>
      <c r="C929" s="39"/>
      <c r="D929" s="39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1" t="str">
        <f t="shared" si="1"/>
        <v>-</v>
      </c>
      <c r="Q929" s="39"/>
      <c r="R929" s="39"/>
    </row>
    <row r="930" ht="19.5" customHeight="1">
      <c r="A930" s="34"/>
      <c r="B930" s="35"/>
      <c r="C930" s="35"/>
      <c r="D930" s="3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7" t="str">
        <f t="shared" si="1"/>
        <v>-</v>
      </c>
      <c r="Q930" s="35"/>
      <c r="R930" s="35"/>
    </row>
    <row r="931" ht="19.5" customHeight="1">
      <c r="A931" s="38"/>
      <c r="B931" s="39"/>
      <c r="C931" s="39"/>
      <c r="D931" s="39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1" t="str">
        <f t="shared" si="1"/>
        <v>-</v>
      </c>
      <c r="Q931" s="39"/>
      <c r="R931" s="39"/>
    </row>
    <row r="932" ht="19.5" customHeight="1">
      <c r="A932" s="34"/>
      <c r="B932" s="35"/>
      <c r="C932" s="35"/>
      <c r="D932" s="3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7" t="str">
        <f t="shared" si="1"/>
        <v>-</v>
      </c>
      <c r="Q932" s="35"/>
      <c r="R932" s="35"/>
    </row>
    <row r="933" ht="19.5" customHeight="1">
      <c r="A933" s="38"/>
      <c r="B933" s="39"/>
      <c r="C933" s="39"/>
      <c r="D933" s="39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1" t="str">
        <f t="shared" si="1"/>
        <v>-</v>
      </c>
      <c r="Q933" s="39"/>
      <c r="R933" s="39"/>
    </row>
    <row r="934" ht="19.5" customHeight="1">
      <c r="A934" s="34"/>
      <c r="B934" s="35"/>
      <c r="C934" s="35"/>
      <c r="D934" s="3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7" t="str">
        <f t="shared" si="1"/>
        <v>-</v>
      </c>
      <c r="Q934" s="35"/>
      <c r="R934" s="35"/>
    </row>
    <row r="935" ht="19.5" customHeight="1">
      <c r="A935" s="38"/>
      <c r="B935" s="39"/>
      <c r="C935" s="39"/>
      <c r="D935" s="39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1" t="str">
        <f t="shared" si="1"/>
        <v>-</v>
      </c>
      <c r="Q935" s="39"/>
      <c r="R935" s="39"/>
    </row>
    <row r="936" ht="19.5" customHeight="1">
      <c r="A936" s="34"/>
      <c r="B936" s="35"/>
      <c r="C936" s="35"/>
      <c r="D936" s="3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7" t="str">
        <f t="shared" si="1"/>
        <v>-</v>
      </c>
      <c r="Q936" s="35"/>
      <c r="R936" s="35"/>
    </row>
    <row r="937" ht="19.5" customHeight="1">
      <c r="A937" s="38"/>
      <c r="B937" s="39"/>
      <c r="C937" s="39"/>
      <c r="D937" s="39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1" t="str">
        <f t="shared" si="1"/>
        <v>-</v>
      </c>
      <c r="Q937" s="39"/>
      <c r="R937" s="39"/>
    </row>
    <row r="938" ht="19.5" customHeight="1">
      <c r="A938" s="34"/>
      <c r="B938" s="35"/>
      <c r="C938" s="35"/>
      <c r="D938" s="3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7" t="str">
        <f t="shared" si="1"/>
        <v>-</v>
      </c>
      <c r="Q938" s="35"/>
      <c r="R938" s="35"/>
    </row>
    <row r="939" ht="19.5" customHeight="1">
      <c r="A939" s="38"/>
      <c r="B939" s="39"/>
      <c r="C939" s="39"/>
      <c r="D939" s="39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1" t="str">
        <f t="shared" si="1"/>
        <v>-</v>
      </c>
      <c r="Q939" s="39"/>
      <c r="R939" s="39"/>
    </row>
    <row r="940" ht="19.5" customHeight="1">
      <c r="A940" s="34"/>
      <c r="B940" s="35"/>
      <c r="C940" s="35"/>
      <c r="D940" s="3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7" t="str">
        <f t="shared" si="1"/>
        <v>-</v>
      </c>
      <c r="Q940" s="35"/>
      <c r="R940" s="35"/>
    </row>
    <row r="941" ht="19.5" customHeight="1">
      <c r="A941" s="38"/>
      <c r="B941" s="39"/>
      <c r="C941" s="39"/>
      <c r="D941" s="39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1" t="str">
        <f t="shared" si="1"/>
        <v>-</v>
      </c>
      <c r="Q941" s="39"/>
      <c r="R941" s="39"/>
    </row>
    <row r="942" ht="19.5" customHeight="1">
      <c r="A942" s="34"/>
      <c r="B942" s="35"/>
      <c r="C942" s="35"/>
      <c r="D942" s="3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7" t="str">
        <f t="shared" si="1"/>
        <v>-</v>
      </c>
      <c r="Q942" s="35"/>
      <c r="R942" s="35"/>
    </row>
    <row r="943" ht="19.5" customHeight="1">
      <c r="A943" s="38"/>
      <c r="B943" s="39"/>
      <c r="C943" s="39"/>
      <c r="D943" s="39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1" t="str">
        <f t="shared" si="1"/>
        <v>-</v>
      </c>
      <c r="Q943" s="39"/>
      <c r="R943" s="39"/>
    </row>
    <row r="944" ht="19.5" customHeight="1">
      <c r="A944" s="34"/>
      <c r="B944" s="35"/>
      <c r="C944" s="35"/>
      <c r="D944" s="3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7" t="str">
        <f t="shared" si="1"/>
        <v>-</v>
      </c>
      <c r="Q944" s="35"/>
      <c r="R944" s="35"/>
    </row>
    <row r="945" ht="19.5" customHeight="1">
      <c r="A945" s="38"/>
      <c r="B945" s="39"/>
      <c r="C945" s="39"/>
      <c r="D945" s="39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1" t="str">
        <f t="shared" si="1"/>
        <v>-</v>
      </c>
      <c r="Q945" s="39"/>
      <c r="R945" s="39"/>
    </row>
    <row r="946" ht="19.5" customHeight="1">
      <c r="A946" s="34"/>
      <c r="B946" s="35"/>
      <c r="C946" s="35"/>
      <c r="D946" s="3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7" t="str">
        <f t="shared" si="1"/>
        <v>-</v>
      </c>
      <c r="Q946" s="35"/>
      <c r="R946" s="35"/>
    </row>
    <row r="947" ht="19.5" customHeight="1">
      <c r="A947" s="38"/>
      <c r="B947" s="39"/>
      <c r="C947" s="39"/>
      <c r="D947" s="39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1" t="str">
        <f t="shared" si="1"/>
        <v>-</v>
      </c>
      <c r="Q947" s="39"/>
      <c r="R947" s="39"/>
    </row>
    <row r="948" ht="19.5" customHeight="1">
      <c r="A948" s="34"/>
      <c r="B948" s="35"/>
      <c r="C948" s="35"/>
      <c r="D948" s="3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7" t="str">
        <f t="shared" si="1"/>
        <v>-</v>
      </c>
      <c r="Q948" s="35"/>
      <c r="R948" s="35"/>
    </row>
    <row r="949" ht="19.5" customHeight="1">
      <c r="A949" s="38"/>
      <c r="B949" s="39"/>
      <c r="C949" s="39"/>
      <c r="D949" s="39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1" t="str">
        <f t="shared" si="1"/>
        <v>-</v>
      </c>
      <c r="Q949" s="39"/>
      <c r="R949" s="39"/>
    </row>
    <row r="950" ht="19.5" customHeight="1">
      <c r="A950" s="34"/>
      <c r="B950" s="35"/>
      <c r="C950" s="35"/>
      <c r="D950" s="3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7" t="str">
        <f t="shared" si="1"/>
        <v>-</v>
      </c>
      <c r="Q950" s="35"/>
      <c r="R950" s="35"/>
    </row>
    <row r="951" ht="19.5" customHeight="1">
      <c r="A951" s="38"/>
      <c r="B951" s="39"/>
      <c r="C951" s="39"/>
      <c r="D951" s="39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1" t="str">
        <f t="shared" si="1"/>
        <v>-</v>
      </c>
      <c r="Q951" s="39"/>
      <c r="R951" s="39"/>
    </row>
    <row r="952" ht="19.5" customHeight="1">
      <c r="A952" s="34"/>
      <c r="B952" s="35"/>
      <c r="C952" s="35"/>
      <c r="D952" s="3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7" t="str">
        <f t="shared" si="1"/>
        <v>-</v>
      </c>
      <c r="Q952" s="35"/>
      <c r="R952" s="35"/>
    </row>
    <row r="953" ht="19.5" customHeight="1">
      <c r="A953" s="38"/>
      <c r="B953" s="39"/>
      <c r="C953" s="39"/>
      <c r="D953" s="39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1" t="str">
        <f t="shared" si="1"/>
        <v>-</v>
      </c>
      <c r="Q953" s="39"/>
      <c r="R953" s="39"/>
    </row>
    <row r="954" ht="19.5" customHeight="1">
      <c r="A954" s="34"/>
      <c r="B954" s="35"/>
      <c r="C954" s="35"/>
      <c r="D954" s="3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7" t="str">
        <f t="shared" si="1"/>
        <v>-</v>
      </c>
      <c r="Q954" s="35"/>
      <c r="R954" s="35"/>
    </row>
    <row r="955" ht="19.5" customHeight="1">
      <c r="A955" s="38"/>
      <c r="B955" s="39"/>
      <c r="C955" s="39"/>
      <c r="D955" s="39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1" t="str">
        <f t="shared" si="1"/>
        <v>-</v>
      </c>
      <c r="Q955" s="39"/>
      <c r="R955" s="39"/>
    </row>
    <row r="956" ht="19.5" customHeight="1">
      <c r="A956" s="34"/>
      <c r="B956" s="35"/>
      <c r="C956" s="35"/>
      <c r="D956" s="3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7" t="str">
        <f t="shared" si="1"/>
        <v>-</v>
      </c>
      <c r="Q956" s="35"/>
      <c r="R956" s="35"/>
    </row>
    <row r="957" ht="19.5" customHeight="1">
      <c r="A957" s="38"/>
      <c r="B957" s="39"/>
      <c r="C957" s="39"/>
      <c r="D957" s="39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1" t="str">
        <f t="shared" si="1"/>
        <v>-</v>
      </c>
      <c r="Q957" s="39"/>
      <c r="R957" s="39"/>
    </row>
    <row r="958" ht="19.5" customHeight="1">
      <c r="A958" s="34"/>
      <c r="B958" s="35"/>
      <c r="C958" s="35"/>
      <c r="D958" s="3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7" t="str">
        <f t="shared" si="1"/>
        <v>-</v>
      </c>
      <c r="Q958" s="35"/>
      <c r="R958" s="35"/>
    </row>
    <row r="959" ht="19.5" customHeight="1">
      <c r="A959" s="38"/>
      <c r="B959" s="39"/>
      <c r="C959" s="39"/>
      <c r="D959" s="39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1" t="str">
        <f t="shared" si="1"/>
        <v>-</v>
      </c>
      <c r="Q959" s="39"/>
      <c r="R959" s="39"/>
    </row>
    <row r="960" ht="19.5" customHeight="1">
      <c r="A960" s="34"/>
      <c r="B960" s="35"/>
      <c r="C960" s="35"/>
      <c r="D960" s="3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7" t="str">
        <f t="shared" si="1"/>
        <v>-</v>
      </c>
      <c r="Q960" s="35"/>
      <c r="R960" s="35"/>
    </row>
    <row r="961" ht="19.5" customHeight="1">
      <c r="A961" s="38"/>
      <c r="B961" s="39"/>
      <c r="C961" s="39"/>
      <c r="D961" s="39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1" t="str">
        <f t="shared" si="1"/>
        <v>-</v>
      </c>
      <c r="Q961" s="39"/>
      <c r="R961" s="39"/>
    </row>
    <row r="962" ht="19.5" customHeight="1">
      <c r="A962" s="34"/>
      <c r="B962" s="35"/>
      <c r="C962" s="35"/>
      <c r="D962" s="3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7" t="str">
        <f t="shared" si="1"/>
        <v>-</v>
      </c>
      <c r="Q962" s="35"/>
      <c r="R962" s="35"/>
    </row>
    <row r="963" ht="19.5" customHeight="1">
      <c r="A963" s="38"/>
      <c r="B963" s="39"/>
      <c r="C963" s="39"/>
      <c r="D963" s="39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1" t="str">
        <f t="shared" si="1"/>
        <v>-</v>
      </c>
      <c r="Q963" s="39"/>
      <c r="R963" s="39"/>
    </row>
    <row r="964" ht="19.5" customHeight="1">
      <c r="A964" s="34"/>
      <c r="B964" s="35"/>
      <c r="C964" s="35"/>
      <c r="D964" s="3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7" t="str">
        <f t="shared" si="1"/>
        <v>-</v>
      </c>
      <c r="Q964" s="35"/>
      <c r="R964" s="35"/>
    </row>
    <row r="965" ht="19.5" customHeight="1">
      <c r="A965" s="38"/>
      <c r="B965" s="39"/>
      <c r="C965" s="39"/>
      <c r="D965" s="39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1" t="str">
        <f t="shared" si="1"/>
        <v>-</v>
      </c>
      <c r="Q965" s="39"/>
      <c r="R965" s="39"/>
    </row>
    <row r="966" ht="19.5" customHeight="1">
      <c r="A966" s="34"/>
      <c r="B966" s="35"/>
      <c r="C966" s="35"/>
      <c r="D966" s="3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7" t="str">
        <f t="shared" si="1"/>
        <v>-</v>
      </c>
      <c r="Q966" s="35"/>
      <c r="R966" s="35"/>
    </row>
    <row r="967" ht="19.5" customHeight="1">
      <c r="A967" s="38"/>
      <c r="B967" s="39"/>
      <c r="C967" s="39"/>
      <c r="D967" s="39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1" t="str">
        <f t="shared" si="1"/>
        <v>-</v>
      </c>
      <c r="Q967" s="39"/>
      <c r="R967" s="39"/>
    </row>
    <row r="968" ht="19.5" customHeight="1">
      <c r="A968" s="34"/>
      <c r="B968" s="35"/>
      <c r="C968" s="35"/>
      <c r="D968" s="3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7" t="str">
        <f t="shared" si="1"/>
        <v>-</v>
      </c>
      <c r="Q968" s="35"/>
      <c r="R968" s="35"/>
    </row>
    <row r="969" ht="19.5" customHeight="1">
      <c r="A969" s="38"/>
      <c r="B969" s="39"/>
      <c r="C969" s="39"/>
      <c r="D969" s="39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1" t="str">
        <f t="shared" si="1"/>
        <v>-</v>
      </c>
      <c r="Q969" s="39"/>
      <c r="R969" s="39"/>
    </row>
    <row r="970" ht="19.5" customHeight="1">
      <c r="A970" s="34"/>
      <c r="B970" s="35"/>
      <c r="C970" s="35"/>
      <c r="D970" s="3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7" t="str">
        <f t="shared" si="1"/>
        <v>-</v>
      </c>
      <c r="Q970" s="35"/>
      <c r="R970" s="35"/>
    </row>
    <row r="971" ht="19.5" customHeight="1">
      <c r="A971" s="38"/>
      <c r="B971" s="39"/>
      <c r="C971" s="39"/>
      <c r="D971" s="39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1" t="str">
        <f t="shared" si="1"/>
        <v>-</v>
      </c>
      <c r="Q971" s="39"/>
      <c r="R971" s="39"/>
    </row>
    <row r="972" ht="19.5" customHeight="1">
      <c r="A972" s="34"/>
      <c r="B972" s="35"/>
      <c r="C972" s="35"/>
      <c r="D972" s="3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7" t="str">
        <f t="shared" si="1"/>
        <v>-</v>
      </c>
      <c r="Q972" s="35"/>
      <c r="R972" s="35"/>
    </row>
    <row r="973" ht="19.5" customHeight="1">
      <c r="A973" s="38"/>
      <c r="B973" s="39"/>
      <c r="C973" s="39"/>
      <c r="D973" s="39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1" t="str">
        <f t="shared" si="1"/>
        <v>-</v>
      </c>
      <c r="Q973" s="39"/>
      <c r="R973" s="39"/>
    </row>
    <row r="974" ht="19.5" customHeight="1">
      <c r="A974" s="34"/>
      <c r="B974" s="35"/>
      <c r="C974" s="35"/>
      <c r="D974" s="3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7" t="str">
        <f t="shared" si="1"/>
        <v>-</v>
      </c>
      <c r="Q974" s="35"/>
      <c r="R974" s="35"/>
    </row>
    <row r="975" ht="19.5" customHeight="1">
      <c r="A975" s="38"/>
      <c r="B975" s="39"/>
      <c r="C975" s="39"/>
      <c r="D975" s="39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1" t="str">
        <f t="shared" si="1"/>
        <v>-</v>
      </c>
      <c r="Q975" s="39"/>
      <c r="R975" s="39"/>
    </row>
    <row r="976" ht="19.5" customHeight="1">
      <c r="A976" s="34"/>
      <c r="B976" s="35"/>
      <c r="C976" s="35"/>
      <c r="D976" s="3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7" t="str">
        <f t="shared" si="1"/>
        <v>-</v>
      </c>
      <c r="Q976" s="35"/>
      <c r="R976" s="35"/>
    </row>
    <row r="977" ht="19.5" customHeight="1">
      <c r="A977" s="38"/>
      <c r="B977" s="39"/>
      <c r="C977" s="39"/>
      <c r="D977" s="39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1" t="str">
        <f t="shared" si="1"/>
        <v>-</v>
      </c>
      <c r="Q977" s="39"/>
      <c r="R977" s="39"/>
    </row>
    <row r="978" ht="19.5" customHeight="1">
      <c r="A978" s="34"/>
      <c r="B978" s="35"/>
      <c r="C978" s="35"/>
      <c r="D978" s="3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7" t="str">
        <f t="shared" si="1"/>
        <v>-</v>
      </c>
      <c r="Q978" s="35"/>
      <c r="R978" s="35"/>
    </row>
    <row r="979" ht="19.5" customHeight="1">
      <c r="A979" s="38"/>
      <c r="B979" s="39"/>
      <c r="C979" s="39"/>
      <c r="D979" s="39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1" t="str">
        <f t="shared" si="1"/>
        <v>-</v>
      </c>
      <c r="Q979" s="39"/>
      <c r="R979" s="39"/>
    </row>
    <row r="980" ht="19.5" customHeight="1">
      <c r="A980" s="34"/>
      <c r="B980" s="35"/>
      <c r="C980" s="35"/>
      <c r="D980" s="3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7" t="str">
        <f t="shared" si="1"/>
        <v>-</v>
      </c>
      <c r="Q980" s="35"/>
      <c r="R980" s="35"/>
    </row>
    <row r="981" ht="19.5" customHeight="1">
      <c r="A981" s="38"/>
      <c r="B981" s="39"/>
      <c r="C981" s="39"/>
      <c r="D981" s="39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1" t="str">
        <f t="shared" si="1"/>
        <v>-</v>
      </c>
      <c r="Q981" s="39"/>
      <c r="R981" s="39"/>
    </row>
    <row r="982" ht="19.5" customHeight="1">
      <c r="A982" s="34"/>
      <c r="B982" s="35"/>
      <c r="C982" s="35"/>
      <c r="D982" s="3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7" t="str">
        <f t="shared" si="1"/>
        <v>-</v>
      </c>
      <c r="Q982" s="35"/>
      <c r="R982" s="35"/>
    </row>
    <row r="983" ht="19.5" customHeight="1">
      <c r="A983" s="38"/>
      <c r="B983" s="39"/>
      <c r="C983" s="39"/>
      <c r="D983" s="39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1" t="str">
        <f t="shared" si="1"/>
        <v>-</v>
      </c>
      <c r="Q983" s="39"/>
      <c r="R983" s="39"/>
    </row>
    <row r="984" ht="19.5" customHeight="1">
      <c r="A984" s="34"/>
      <c r="B984" s="35"/>
      <c r="C984" s="35"/>
      <c r="D984" s="3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7" t="str">
        <f t="shared" si="1"/>
        <v>-</v>
      </c>
      <c r="Q984" s="35"/>
      <c r="R984" s="35"/>
    </row>
    <row r="985" ht="19.5" customHeight="1">
      <c r="A985" s="38"/>
      <c r="B985" s="39"/>
      <c r="C985" s="39"/>
      <c r="D985" s="39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1" t="str">
        <f t="shared" si="1"/>
        <v>-</v>
      </c>
      <c r="Q985" s="39"/>
      <c r="R985" s="39"/>
    </row>
    <row r="986" ht="19.5" customHeight="1">
      <c r="A986" s="34"/>
      <c r="B986" s="35"/>
      <c r="C986" s="35"/>
      <c r="D986" s="3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7" t="str">
        <f t="shared" si="1"/>
        <v>-</v>
      </c>
      <c r="Q986" s="35"/>
      <c r="R986" s="35"/>
    </row>
    <row r="987" ht="19.5" customHeight="1">
      <c r="A987" s="38"/>
      <c r="B987" s="39"/>
      <c r="C987" s="39"/>
      <c r="D987" s="39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1" t="str">
        <f t="shared" si="1"/>
        <v>-</v>
      </c>
      <c r="Q987" s="39"/>
      <c r="R987" s="39"/>
    </row>
    <row r="988" ht="19.5" customHeight="1">
      <c r="A988" s="34"/>
      <c r="B988" s="35"/>
      <c r="C988" s="35"/>
      <c r="D988" s="3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7" t="str">
        <f t="shared" si="1"/>
        <v>-</v>
      </c>
      <c r="Q988" s="35"/>
      <c r="R988" s="35"/>
    </row>
    <row r="989" ht="19.5" customHeight="1">
      <c r="A989" s="38"/>
      <c r="B989" s="39"/>
      <c r="C989" s="39"/>
      <c r="D989" s="39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1" t="str">
        <f t="shared" si="1"/>
        <v>-</v>
      </c>
      <c r="Q989" s="39"/>
      <c r="R989" s="39"/>
    </row>
    <row r="990" ht="19.5" customHeight="1">
      <c r="A990" s="34"/>
      <c r="B990" s="35"/>
      <c r="C990" s="35"/>
      <c r="D990" s="3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7" t="str">
        <f t="shared" si="1"/>
        <v>-</v>
      </c>
      <c r="Q990" s="35"/>
      <c r="R990" s="35"/>
    </row>
    <row r="991" ht="19.5" customHeight="1">
      <c r="A991" s="38"/>
      <c r="B991" s="39"/>
      <c r="C991" s="39"/>
      <c r="D991" s="39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1" t="str">
        <f t="shared" si="1"/>
        <v>-</v>
      </c>
      <c r="Q991" s="39"/>
      <c r="R991" s="39"/>
    </row>
    <row r="992" ht="19.5" customHeight="1">
      <c r="A992" s="34"/>
      <c r="B992" s="35"/>
      <c r="C992" s="35"/>
      <c r="D992" s="3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7" t="str">
        <f t="shared" si="1"/>
        <v>-</v>
      </c>
      <c r="Q992" s="35"/>
      <c r="R992" s="35"/>
    </row>
    <row r="993" ht="19.5" customHeight="1">
      <c r="A993" s="38"/>
      <c r="B993" s="39"/>
      <c r="C993" s="39"/>
      <c r="D993" s="39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1" t="str">
        <f t="shared" si="1"/>
        <v>-</v>
      </c>
      <c r="Q993" s="39"/>
      <c r="R993" s="39"/>
    </row>
    <row r="994" ht="19.5" customHeight="1">
      <c r="A994" s="34"/>
      <c r="B994" s="35"/>
      <c r="C994" s="35"/>
      <c r="D994" s="3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7" t="str">
        <f t="shared" si="1"/>
        <v>-</v>
      </c>
      <c r="Q994" s="35"/>
      <c r="R994" s="35"/>
    </row>
    <row r="995" ht="19.5" customHeight="1">
      <c r="A995" s="38"/>
      <c r="B995" s="39"/>
      <c r="C995" s="39"/>
      <c r="D995" s="39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1" t="str">
        <f t="shared" si="1"/>
        <v>-</v>
      </c>
      <c r="Q995" s="39"/>
      <c r="R995" s="39"/>
    </row>
    <row r="996" ht="19.5" customHeight="1">
      <c r="A996" s="34"/>
      <c r="B996" s="35"/>
      <c r="C996" s="35"/>
      <c r="D996" s="3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7" t="str">
        <f t="shared" si="1"/>
        <v>-</v>
      </c>
      <c r="Q996" s="35"/>
      <c r="R996" s="35"/>
    </row>
    <row r="997" ht="19.5" customHeight="1">
      <c r="A997" s="38"/>
      <c r="B997" s="39"/>
      <c r="C997" s="39"/>
      <c r="D997" s="39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1" t="str">
        <f t="shared" si="1"/>
        <v>-</v>
      </c>
      <c r="Q997" s="39"/>
      <c r="R997" s="39"/>
    </row>
    <row r="998" ht="19.5" customHeight="1">
      <c r="A998" s="34"/>
      <c r="B998" s="35"/>
      <c r="C998" s="35"/>
      <c r="D998" s="3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7" t="str">
        <f t="shared" si="1"/>
        <v>-</v>
      </c>
      <c r="Q998" s="35"/>
      <c r="R998" s="35"/>
    </row>
    <row r="999" ht="19.5" customHeight="1">
      <c r="A999" s="38"/>
      <c r="B999" s="39"/>
      <c r="C999" s="39"/>
      <c r="D999" s="39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1" t="str">
        <f t="shared" si="1"/>
        <v>-</v>
      </c>
      <c r="Q999" s="39"/>
      <c r="R999" s="39"/>
    </row>
    <row r="1000" ht="19.5" customHeight="1">
      <c r="A1000" s="34"/>
      <c r="B1000" s="35"/>
      <c r="C1000" s="35"/>
      <c r="D1000" s="3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7" t="str">
        <f t="shared" si="1"/>
        <v>-</v>
      </c>
      <c r="Q1000" s="35"/>
      <c r="R1000" s="35"/>
    </row>
    <row r="1001" ht="19.5" customHeight="1">
      <c r="A1001" s="38"/>
      <c r="B1001" s="39"/>
      <c r="C1001" s="39"/>
      <c r="D1001" s="39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1" t="str">
        <f t="shared" si="1"/>
        <v>-</v>
      </c>
      <c r="Q1001" s="39"/>
      <c r="R1001" s="39"/>
    </row>
    <row r="1002" ht="19.5" customHeight="1">
      <c r="A1002" s="34"/>
      <c r="B1002" s="35"/>
      <c r="C1002" s="35"/>
      <c r="D1002" s="3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7" t="str">
        <f t="shared" si="1"/>
        <v>-</v>
      </c>
      <c r="Q1002" s="35"/>
      <c r="R1002" s="35"/>
    </row>
    <row r="1003" ht="19.5" customHeight="1">
      <c r="A1003" s="38"/>
      <c r="B1003" s="39"/>
      <c r="C1003" s="39"/>
      <c r="D1003" s="39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1" t="str">
        <f t="shared" si="1"/>
        <v>-</v>
      </c>
      <c r="Q1003" s="39"/>
      <c r="R1003" s="39"/>
    </row>
  </sheetData>
  <mergeCells count="2">
    <mergeCell ref="A1:S1"/>
    <mergeCell ref="A2:S2"/>
  </mergeCells>
  <dataValidations>
    <dataValidation type="list" allowBlank="1" sqref="R4:R1003">
      <formula1>"Cash,Cheque,Bank Transfer,Credit Card,Debit Card,Petty Cash"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16.0"/>
    <col customWidth="1" min="4" max="7" width="14.0"/>
    <col customWidth="1" min="8" max="8" width="2.0"/>
    <col customWidth="1" min="9" max="9" width="22.0"/>
    <col customWidth="1" min="10" max="11" width="16.0"/>
    <col customWidth="1" min="12" max="16" width="14.0"/>
    <col customWidth="1" min="17" max="26" width="8.71"/>
  </cols>
  <sheetData>
    <row r="1" ht="43.5" customHeight="1">
      <c r="A1" s="4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/>
    <row r="3" ht="24.0" customHeight="1">
      <c r="A3" s="43" t="s">
        <v>22</v>
      </c>
      <c r="B3" s="2"/>
      <c r="C3" s="2"/>
      <c r="D3" s="2"/>
      <c r="E3" s="2"/>
      <c r="F3" s="2"/>
      <c r="G3" s="3"/>
      <c r="I3" s="44" t="s">
        <v>23</v>
      </c>
      <c r="J3" s="2"/>
      <c r="K3" s="2"/>
      <c r="L3" s="2"/>
      <c r="M3" s="2"/>
      <c r="N3" s="2"/>
      <c r="O3" s="2"/>
      <c r="P3" s="3"/>
    </row>
    <row r="4" ht="21.75" customHeight="1">
      <c r="A4" s="45" t="s">
        <v>24</v>
      </c>
      <c r="B4" s="46"/>
      <c r="C4" s="46"/>
      <c r="D4" s="47"/>
      <c r="E4" s="48">
        <f>SUM(Expenses!E4:E1003)</f>
        <v>0</v>
      </c>
      <c r="F4" s="46"/>
      <c r="G4" s="47"/>
      <c r="I4" s="45" t="s">
        <v>25</v>
      </c>
      <c r="J4" s="46"/>
      <c r="K4" s="46"/>
      <c r="L4" s="47"/>
      <c r="M4" s="49" t="str">
        <f>E13</f>
        <v/>
      </c>
      <c r="N4" s="46"/>
      <c r="O4" s="46"/>
      <c r="P4" s="47"/>
    </row>
    <row r="5" ht="21.75" customHeight="1">
      <c r="A5" s="50" t="s">
        <v>26</v>
      </c>
      <c r="B5" s="46"/>
      <c r="C5" s="46"/>
      <c r="D5" s="47"/>
      <c r="E5" s="51"/>
      <c r="F5" s="46"/>
      <c r="G5" s="47"/>
      <c r="I5" s="50" t="s">
        <v>27</v>
      </c>
      <c r="J5" s="46"/>
      <c r="K5" s="46"/>
      <c r="L5" s="47"/>
      <c r="M5" s="52">
        <f>E4</f>
        <v>0</v>
      </c>
      <c r="N5" s="46"/>
      <c r="O5" s="46"/>
      <c r="P5" s="47"/>
    </row>
    <row r="6" ht="21.75" customHeight="1">
      <c r="A6" s="45" t="s">
        <v>28</v>
      </c>
      <c r="B6" s="46"/>
      <c r="C6" s="46"/>
      <c r="D6" s="47"/>
      <c r="E6" s="48"/>
      <c r="F6" s="46"/>
      <c r="G6" s="47"/>
      <c r="I6" s="45" t="s">
        <v>28</v>
      </c>
      <c r="J6" s="46"/>
      <c r="K6" s="46"/>
      <c r="L6" s="47"/>
      <c r="M6" s="48" t="str">
        <f t="shared" ref="M6:M7" si="1">E6</f>
        <v/>
      </c>
      <c r="N6" s="46"/>
      <c r="O6" s="46"/>
      <c r="P6" s="47"/>
    </row>
    <row r="7" ht="21.75" customHeight="1">
      <c r="A7" s="50" t="s">
        <v>29</v>
      </c>
      <c r="B7" s="46"/>
      <c r="C7" s="46"/>
      <c r="D7" s="47"/>
      <c r="E7" s="53">
        <f>IFERROR(E6/E13,0)</f>
        <v>0</v>
      </c>
      <c r="F7" s="46"/>
      <c r="G7" s="47"/>
      <c r="I7" s="50" t="s">
        <v>29</v>
      </c>
      <c r="J7" s="46"/>
      <c r="K7" s="46"/>
      <c r="L7" s="47"/>
      <c r="M7" s="54">
        <f t="shared" si="1"/>
        <v>0</v>
      </c>
      <c r="N7" s="46"/>
      <c r="O7" s="46"/>
      <c r="P7" s="47"/>
    </row>
    <row r="8" ht="21.75" customHeight="1">
      <c r="A8" s="45" t="s">
        <v>30</v>
      </c>
      <c r="B8" s="46"/>
      <c r="C8" s="46"/>
      <c r="D8" s="47"/>
      <c r="E8" s="55">
        <f>COUNTA(Expenses!B4:B1003)</f>
        <v>0</v>
      </c>
      <c r="F8" s="46"/>
      <c r="G8" s="47"/>
      <c r="I8" s="45" t="s">
        <v>31</v>
      </c>
      <c r="J8" s="46"/>
      <c r="K8" s="46"/>
      <c r="L8" s="47"/>
      <c r="M8" s="56" t="str">
        <f>IF(ABS(SUM(Stakeholders!E3:E12)-1)&lt;0.001,"✔ 100%","⚠ Check")</f>
        <v>⚠ Check</v>
      </c>
      <c r="N8" s="46"/>
      <c r="O8" s="46"/>
      <c r="P8" s="47"/>
    </row>
    <row r="9" ht="23.25" customHeight="1">
      <c r="A9" s="50" t="s">
        <v>32</v>
      </c>
      <c r="B9" s="46"/>
      <c r="C9" s="46"/>
      <c r="D9" s="47"/>
      <c r="E9" s="57">
        <f>IFERROR(B4/B8,0)</f>
        <v>0</v>
      </c>
      <c r="F9" s="46"/>
      <c r="G9" s="47"/>
    </row>
    <row r="10" ht="21.75" customHeight="1">
      <c r="A10" s="45" t="s">
        <v>33</v>
      </c>
      <c r="B10" s="46"/>
      <c r="C10" s="46"/>
      <c r="D10" s="47"/>
      <c r="E10" s="58">
        <f>COUNTIF(Expenses!P4:P1003,"⚠ Mismatch")</f>
        <v>0</v>
      </c>
      <c r="F10" s="46"/>
      <c r="G10" s="47"/>
    </row>
    <row r="11" ht="21.75" customHeight="1">
      <c r="A11" s="50" t="s">
        <v>34</v>
      </c>
      <c r="B11" s="46"/>
      <c r="C11" s="46"/>
      <c r="D11" s="47"/>
      <c r="E11" s="59"/>
      <c r="F11" s="46"/>
      <c r="G11" s="47"/>
    </row>
    <row r="12" ht="3.75" customHeight="1"/>
    <row r="13" ht="27.75" customHeight="1">
      <c r="A13" s="60" t="s">
        <v>35</v>
      </c>
      <c r="B13" s="2"/>
      <c r="C13" s="2"/>
      <c r="D13" s="3"/>
      <c r="E13" s="61"/>
      <c r="F13" s="2"/>
      <c r="G13" s="3"/>
    </row>
    <row r="14" ht="14.25" customHeight="1"/>
    <row r="15" ht="24.0" customHeight="1">
      <c r="I15" s="43" t="s">
        <v>36</v>
      </c>
      <c r="J15" s="2"/>
      <c r="K15" s="2"/>
      <c r="L15" s="2"/>
      <c r="M15" s="2"/>
      <c r="N15" s="2"/>
      <c r="O15" s="2"/>
      <c r="P15" s="3"/>
    </row>
    <row r="16" ht="21.75" customHeight="1">
      <c r="A16" s="62" t="s">
        <v>37</v>
      </c>
      <c r="B16" s="2"/>
      <c r="C16" s="2"/>
      <c r="D16" s="2"/>
      <c r="E16" s="2"/>
      <c r="F16" s="2"/>
      <c r="G16" s="3"/>
      <c r="I16" s="63" t="s">
        <v>16</v>
      </c>
      <c r="J16" s="46"/>
      <c r="K16" s="46"/>
      <c r="L16" s="47"/>
      <c r="M16" s="63" t="s">
        <v>38</v>
      </c>
      <c r="N16" s="47"/>
      <c r="O16" s="4" t="s">
        <v>39</v>
      </c>
      <c r="P16" s="4" t="s">
        <v>40</v>
      </c>
    </row>
    <row r="17" ht="19.5" customHeight="1">
      <c r="A17" s="4" t="s">
        <v>41</v>
      </c>
      <c r="B17" s="4" t="s">
        <v>42</v>
      </c>
      <c r="C17" s="4" t="s">
        <v>43</v>
      </c>
      <c r="D17" s="4" t="s">
        <v>6</v>
      </c>
      <c r="E17" s="4" t="s">
        <v>8</v>
      </c>
      <c r="F17" s="63" t="s">
        <v>44</v>
      </c>
      <c r="G17" s="47"/>
      <c r="I17" s="64" t="s">
        <v>45</v>
      </c>
      <c r="J17" s="46"/>
      <c r="K17" s="46"/>
      <c r="L17" s="47"/>
      <c r="M17" s="65">
        <f>SUMIF(Expenses!D4:D1003,I17,Expenses!E4:E1003)</f>
        <v>0</v>
      </c>
      <c r="N17" s="47"/>
      <c r="O17" s="66">
        <f>IFERROR(M17/E4,0)</f>
        <v>0</v>
      </c>
      <c r="P17" s="67">
        <f>COUNTIF(Expenses!D4:D1003,I17)</f>
        <v>0</v>
      </c>
    </row>
    <row r="18" ht="19.5" customHeight="1">
      <c r="A18" s="68" t="str">
        <f>IF(Stakeholders!A3&lt;&gt;"",Stakeholders!A3,"—")</f>
        <v>—</v>
      </c>
      <c r="B18" s="69" t="str">
        <f>Stakeholders!E3</f>
        <v/>
      </c>
      <c r="C18" s="70">
        <f>SUM(Expenses!F4:F1003)</f>
        <v>0</v>
      </c>
      <c r="D18" s="71">
        <f>IFERROR(E6*Stakeholders!E3,0)</f>
        <v>0</v>
      </c>
      <c r="E18" s="71">
        <f t="shared" ref="E18:E27" si="2">D18-C18</f>
        <v>0</v>
      </c>
      <c r="F18" s="72" t="str">
        <f>IF(Stakeholders!A3="","—",IF(D18&gt;C18,"✔ Profit Due","⚠ Shortfall"))</f>
        <v>—</v>
      </c>
      <c r="G18" s="47"/>
      <c r="I18" s="73" t="s">
        <v>46</v>
      </c>
      <c r="J18" s="46"/>
      <c r="K18" s="46"/>
      <c r="L18" s="47"/>
      <c r="M18" s="74">
        <f>SUMIF(Expenses!D4:D1003,I18,Expenses!E4:E1003)</f>
        <v>0</v>
      </c>
      <c r="N18" s="47"/>
      <c r="O18" s="75">
        <f>IFERROR(M18/E4,0)</f>
        <v>0</v>
      </c>
      <c r="P18" s="76">
        <f>COUNTIF(Expenses!D4:D1003,I18)</f>
        <v>0</v>
      </c>
    </row>
    <row r="19" ht="19.5" customHeight="1">
      <c r="A19" s="77" t="str">
        <f>IF(Stakeholders!A4&lt;&gt;"",Stakeholders!A4,"—")</f>
        <v>—</v>
      </c>
      <c r="B19" s="78" t="str">
        <f>Stakeholders!E4</f>
        <v/>
      </c>
      <c r="C19" s="79">
        <f>SUM(Expenses!G4:G1003)</f>
        <v>0</v>
      </c>
      <c r="D19" s="80">
        <f>IFERROR(E6*Stakeholders!E4,0)</f>
        <v>0</v>
      </c>
      <c r="E19" s="80">
        <f t="shared" si="2"/>
        <v>0</v>
      </c>
      <c r="F19" s="81" t="str">
        <f>IF(Stakeholders!A4="","—",IF(D19&gt;C19,"✔ Profit Due","⚠ Shortfall"))</f>
        <v>—</v>
      </c>
      <c r="G19" s="47"/>
      <c r="I19" s="64" t="s">
        <v>47</v>
      </c>
      <c r="J19" s="46"/>
      <c r="K19" s="46"/>
      <c r="L19" s="47"/>
      <c r="M19" s="65">
        <f>SUMIF(Expenses!D4:D1003,I19,Expenses!E4:E1003)</f>
        <v>0</v>
      </c>
      <c r="N19" s="47"/>
      <c r="O19" s="66">
        <f>IFERROR(M19/E4,0)</f>
        <v>0</v>
      </c>
      <c r="P19" s="67">
        <f>COUNTIF(Expenses!D4:D1003,I19)</f>
        <v>0</v>
      </c>
    </row>
    <row r="20" ht="19.5" customHeight="1">
      <c r="A20" s="68" t="str">
        <f>IF(Stakeholders!A5&lt;&gt;"",Stakeholders!A5,"—")</f>
        <v>—</v>
      </c>
      <c r="B20" s="69" t="str">
        <f>Stakeholders!E5</f>
        <v/>
      </c>
      <c r="C20" s="70">
        <f>SUM(Expenses!H4:H1003)</f>
        <v>0</v>
      </c>
      <c r="D20" s="71">
        <f>IFERROR(E6*Stakeholders!E5,0)</f>
        <v>0</v>
      </c>
      <c r="E20" s="71">
        <f t="shared" si="2"/>
        <v>0</v>
      </c>
      <c r="F20" s="72" t="str">
        <f>IF(Stakeholders!A5="","—",IF(D20&gt;C20,"✔ Profit Due","⚠ Shortfall"))</f>
        <v>—</v>
      </c>
      <c r="G20" s="47"/>
      <c r="I20" s="73" t="s">
        <v>48</v>
      </c>
      <c r="J20" s="46"/>
      <c r="K20" s="46"/>
      <c r="L20" s="47"/>
      <c r="M20" s="74">
        <f>SUMIF(Expenses!D4:D1003,I20,Expenses!E4:E1003)</f>
        <v>0</v>
      </c>
      <c r="N20" s="47"/>
      <c r="O20" s="75">
        <f>IFERROR(M20/E4,0)</f>
        <v>0</v>
      </c>
      <c r="P20" s="76">
        <f>COUNTIF(Expenses!D4:D1003,I20)</f>
        <v>0</v>
      </c>
    </row>
    <row r="21" ht="19.5" customHeight="1">
      <c r="A21" s="77" t="str">
        <f>IF(Stakeholders!A6&lt;&gt;"",Stakeholders!A6,"—")</f>
        <v>—</v>
      </c>
      <c r="B21" s="78" t="str">
        <f>Stakeholders!E6</f>
        <v/>
      </c>
      <c r="C21" s="79">
        <f>SUM(Expenses!I4:I1003)</f>
        <v>0</v>
      </c>
      <c r="D21" s="80">
        <f>IFERROR(E6*Stakeholders!E6,0)</f>
        <v>0</v>
      </c>
      <c r="E21" s="80">
        <f t="shared" si="2"/>
        <v>0</v>
      </c>
      <c r="F21" s="81" t="str">
        <f>IF(Stakeholders!A6="","—",IF(D21&gt;C21,"✔ Profit Due","⚠ Shortfall"))</f>
        <v>—</v>
      </c>
      <c r="G21" s="47"/>
      <c r="I21" s="64" t="s">
        <v>49</v>
      </c>
      <c r="J21" s="46"/>
      <c r="K21" s="46"/>
      <c r="L21" s="47"/>
      <c r="M21" s="65">
        <f>SUMIF(Expenses!D4:D1003,I21,Expenses!E4:E1003)</f>
        <v>0</v>
      </c>
      <c r="N21" s="47"/>
      <c r="O21" s="66">
        <f>IFERROR(M21/E4,0)</f>
        <v>0</v>
      </c>
      <c r="P21" s="67">
        <f>COUNTIF(Expenses!D4:D1003,I21)</f>
        <v>0</v>
      </c>
    </row>
    <row r="22" ht="19.5" customHeight="1">
      <c r="A22" s="68" t="str">
        <f>IF(Stakeholders!A7&lt;&gt;"",Stakeholders!A7,"—")</f>
        <v>—</v>
      </c>
      <c r="B22" s="69" t="str">
        <f>Stakeholders!E7</f>
        <v/>
      </c>
      <c r="C22" s="70">
        <f>SUM(Expenses!J4:J1003)</f>
        <v>0</v>
      </c>
      <c r="D22" s="71">
        <f>IFERROR(E6*Stakeholders!E7,0)</f>
        <v>0</v>
      </c>
      <c r="E22" s="71">
        <f t="shared" si="2"/>
        <v>0</v>
      </c>
      <c r="F22" s="72" t="str">
        <f>IF(Stakeholders!A7="","—",IF(D22&gt;C22,"✔ Profit Due","⚠ Shortfall"))</f>
        <v>—</v>
      </c>
      <c r="G22" s="47"/>
      <c r="I22" s="73" t="s">
        <v>50</v>
      </c>
      <c r="J22" s="46"/>
      <c r="K22" s="46"/>
      <c r="L22" s="47"/>
      <c r="M22" s="74">
        <f>SUMIF(Expenses!D4:D1003,I22,Expenses!E4:E1003)</f>
        <v>0</v>
      </c>
      <c r="N22" s="47"/>
      <c r="O22" s="75">
        <f>IFERROR(M22/E4,0)</f>
        <v>0</v>
      </c>
      <c r="P22" s="76">
        <f>COUNTIF(Expenses!D4:D1003,I22)</f>
        <v>0</v>
      </c>
    </row>
    <row r="23" ht="19.5" customHeight="1">
      <c r="A23" s="77" t="str">
        <f>IF(Stakeholders!A8&lt;&gt;"",Stakeholders!A8,"—")</f>
        <v>—</v>
      </c>
      <c r="B23" s="78" t="str">
        <f>Stakeholders!E8</f>
        <v/>
      </c>
      <c r="C23" s="79">
        <f>SUM(Expenses!K4:K1003)</f>
        <v>0</v>
      </c>
      <c r="D23" s="80">
        <f>IFERROR(E6*Stakeholders!E8,0)</f>
        <v>0</v>
      </c>
      <c r="E23" s="80">
        <f t="shared" si="2"/>
        <v>0</v>
      </c>
      <c r="F23" s="81" t="str">
        <f>IF(Stakeholders!A8="","—",IF(D23&gt;C23,"✔ Profit Due","⚠ Shortfall"))</f>
        <v>—</v>
      </c>
      <c r="G23" s="47"/>
      <c r="I23" s="64" t="s">
        <v>51</v>
      </c>
      <c r="J23" s="46"/>
      <c r="K23" s="46"/>
      <c r="L23" s="47"/>
      <c r="M23" s="65">
        <f>SUMIF(Expenses!D4:D1003,I23,Expenses!E4:E1003)</f>
        <v>0</v>
      </c>
      <c r="N23" s="47"/>
      <c r="O23" s="66">
        <f>IFERROR(M23/E4,0)</f>
        <v>0</v>
      </c>
      <c r="P23" s="67">
        <f>COUNTIF(Expenses!D4:D1003,I23)</f>
        <v>0</v>
      </c>
    </row>
    <row r="24" ht="19.5" customHeight="1">
      <c r="A24" s="68" t="str">
        <f>IF(Stakeholders!A9&lt;&gt;"",Stakeholders!A9,"—")</f>
        <v>—</v>
      </c>
      <c r="B24" s="69" t="str">
        <f>Stakeholders!E9</f>
        <v/>
      </c>
      <c r="C24" s="70">
        <f>SUM(Expenses!L4:L1003)</f>
        <v>0</v>
      </c>
      <c r="D24" s="71">
        <f>IFERROR(E6*Stakeholders!E9,0)</f>
        <v>0</v>
      </c>
      <c r="E24" s="71">
        <f t="shared" si="2"/>
        <v>0</v>
      </c>
      <c r="F24" s="72" t="str">
        <f>IF(Stakeholders!A9="","—",IF(D24&gt;C24,"✔ Profit Due","⚠ Shortfall"))</f>
        <v>—</v>
      </c>
      <c r="G24" s="47"/>
      <c r="I24" s="73" t="s">
        <v>52</v>
      </c>
      <c r="J24" s="46"/>
      <c r="K24" s="46"/>
      <c r="L24" s="47"/>
      <c r="M24" s="74">
        <f>SUMIF(Expenses!D4:D1003,I24,Expenses!E4:E1003)</f>
        <v>0</v>
      </c>
      <c r="N24" s="47"/>
      <c r="O24" s="75">
        <f>IFERROR(M24/E4,0)</f>
        <v>0</v>
      </c>
      <c r="P24" s="76">
        <f>COUNTIF(Expenses!D4:D1003,I24)</f>
        <v>0</v>
      </c>
    </row>
    <row r="25" ht="19.5" customHeight="1">
      <c r="A25" s="77" t="str">
        <f>IF(Stakeholders!A10&lt;&gt;"",Stakeholders!A10,"—")</f>
        <v>—</v>
      </c>
      <c r="B25" s="78" t="str">
        <f>Stakeholders!E10</f>
        <v/>
      </c>
      <c r="C25" s="79">
        <f>SUM(Expenses!M4:M1003)</f>
        <v>0</v>
      </c>
      <c r="D25" s="80">
        <f>IFERROR(E6*Stakeholders!E10,0)</f>
        <v>0</v>
      </c>
      <c r="E25" s="80">
        <f t="shared" si="2"/>
        <v>0</v>
      </c>
      <c r="F25" s="81" t="str">
        <f>IF(Stakeholders!A10="","—",IF(D25&gt;C25,"✔ Profit Due","⚠ Shortfall"))</f>
        <v>—</v>
      </c>
      <c r="G25" s="47"/>
      <c r="I25" s="64" t="s">
        <v>53</v>
      </c>
      <c r="J25" s="46"/>
      <c r="K25" s="46"/>
      <c r="L25" s="47"/>
      <c r="M25" s="65">
        <f>SUMIF(Expenses!D4:D1003,I25,Expenses!E4:E1003)</f>
        <v>0</v>
      </c>
      <c r="N25" s="47"/>
      <c r="O25" s="66">
        <f>IFERROR(M25/E4,0)</f>
        <v>0</v>
      </c>
      <c r="P25" s="67">
        <f>COUNTIF(Expenses!D4:D1003,I25)</f>
        <v>0</v>
      </c>
    </row>
    <row r="26" ht="19.5" customHeight="1">
      <c r="A26" s="68" t="str">
        <f>IF(Stakeholders!A11&lt;&gt;"",Stakeholders!A11,"—")</f>
        <v>—</v>
      </c>
      <c r="B26" s="69" t="str">
        <f>Stakeholders!E11</f>
        <v/>
      </c>
      <c r="C26" s="70">
        <f>SUM(Expenses!N4:N1003)</f>
        <v>0</v>
      </c>
      <c r="D26" s="71">
        <f>IFERROR(E6*Stakeholders!E11,0)</f>
        <v>0</v>
      </c>
      <c r="E26" s="71">
        <f t="shared" si="2"/>
        <v>0</v>
      </c>
      <c r="F26" s="72" t="str">
        <f>IF(Stakeholders!A11="","—",IF(D26&gt;C26,"✔ Profit Due","⚠ Shortfall"))</f>
        <v>—</v>
      </c>
      <c r="G26" s="47"/>
      <c r="I26" s="73" t="s">
        <v>54</v>
      </c>
      <c r="J26" s="46"/>
      <c r="K26" s="46"/>
      <c r="L26" s="47"/>
      <c r="M26" s="74">
        <f>SUMIF(Expenses!D4:D1003,I26,Expenses!E4:E1003)</f>
        <v>0</v>
      </c>
      <c r="N26" s="47"/>
      <c r="O26" s="75">
        <f>IFERROR(M26/E4,0)</f>
        <v>0</v>
      </c>
      <c r="P26" s="76">
        <f>COUNTIF(Expenses!D4:D1003,I26)</f>
        <v>0</v>
      </c>
    </row>
    <row r="27" ht="19.5" customHeight="1">
      <c r="A27" s="77" t="str">
        <f>IF(Stakeholders!A12&lt;&gt;"",Stakeholders!A12,"—")</f>
        <v>—</v>
      </c>
      <c r="B27" s="78" t="str">
        <f>Stakeholders!E12</f>
        <v/>
      </c>
      <c r="C27" s="79">
        <f>SUM(Expenses!O4:O1003)</f>
        <v>0</v>
      </c>
      <c r="D27" s="80">
        <f>IFERROR(E6*Stakeholders!E12,0)</f>
        <v>0</v>
      </c>
      <c r="E27" s="80">
        <f t="shared" si="2"/>
        <v>0</v>
      </c>
      <c r="F27" s="81" t="str">
        <f>IF(Stakeholders!A12="","—",IF(D27&gt;C27,"✔ Profit Due","⚠ Shortfall"))</f>
        <v>—</v>
      </c>
      <c r="G27" s="47"/>
      <c r="I27" s="64" t="s">
        <v>55</v>
      </c>
      <c r="J27" s="46"/>
      <c r="K27" s="46"/>
      <c r="L27" s="47"/>
      <c r="M27" s="65">
        <f>SUMIF(Expenses!D4:D1003,I27,Expenses!E4:E1003)</f>
        <v>0</v>
      </c>
      <c r="N27" s="47"/>
      <c r="O27" s="66">
        <f>IFERROR(M27/E4,0)</f>
        <v>0</v>
      </c>
      <c r="P27" s="67">
        <f>COUNTIF(Expenses!D4:D1003,I27)</f>
        <v>0</v>
      </c>
    </row>
    <row r="28" ht="21.75" customHeight="1">
      <c r="A28" s="82" t="s">
        <v>9</v>
      </c>
      <c r="B28" s="47"/>
      <c r="C28" s="17">
        <f t="shared" ref="C28:E28" si="3">SUM(C18:C27)</f>
        <v>0</v>
      </c>
      <c r="D28" s="17">
        <f t="shared" si="3"/>
        <v>0</v>
      </c>
      <c r="E28" s="17">
        <f t="shared" si="3"/>
        <v>0</v>
      </c>
      <c r="F28" s="83"/>
      <c r="G28" s="47"/>
      <c r="I28" s="82" t="s">
        <v>56</v>
      </c>
      <c r="J28" s="46"/>
      <c r="K28" s="46"/>
      <c r="L28" s="47"/>
      <c r="M28" s="84">
        <f>SUM(M17:M27)</f>
        <v>0</v>
      </c>
      <c r="N28" s="47"/>
      <c r="O28" s="85"/>
      <c r="P28" s="85"/>
    </row>
    <row r="29" ht="6.0" customHeight="1"/>
    <row r="30" ht="24.0" customHeight="1">
      <c r="A30" s="62" t="s">
        <v>57</v>
      </c>
      <c r="B30" s="2"/>
      <c r="C30" s="2"/>
      <c r="D30" s="2"/>
      <c r="E30" s="2"/>
      <c r="F30" s="2"/>
      <c r="G30" s="3"/>
    </row>
    <row r="31" ht="21.75" customHeight="1">
      <c r="A31" s="4" t="s">
        <v>41</v>
      </c>
      <c r="B31" s="4" t="s">
        <v>58</v>
      </c>
      <c r="C31" s="4" t="s">
        <v>59</v>
      </c>
      <c r="D31" s="4" t="s">
        <v>60</v>
      </c>
      <c r="E31" s="4" t="s">
        <v>61</v>
      </c>
      <c r="F31" s="63" t="s">
        <v>62</v>
      </c>
      <c r="G31" s="47"/>
    </row>
    <row r="32" ht="19.5" customHeight="1">
      <c r="A32" s="68" t="str">
        <f>IF(Stakeholders!A3&lt;&gt;"",Stakeholders!A3,"—")</f>
        <v>—</v>
      </c>
      <c r="B32" s="70">
        <f>SUM(Expenses!F4:F1003)</f>
        <v>0</v>
      </c>
      <c r="C32" s="86">
        <f>IFERROR(E4*Stakeholders!E3,0)</f>
        <v>0</v>
      </c>
      <c r="D32" s="71">
        <f t="shared" ref="D32:D41" si="4">B32-C32</f>
        <v>0</v>
      </c>
      <c r="E32" s="87" t="str">
        <f t="shared" ref="E32:E41" si="5">IF(D32&gt;0,"Receive "&amp;TEXT(D32,"#,##0.00"),IF(D32&lt;0,"Pay "&amp;TEXT(ABS(D32),"#,##0.00"),"Settled"))</f>
        <v>Settled</v>
      </c>
      <c r="F32" s="72" t="str">
        <f t="shared" ref="F32:F41" si="6">IF(ABS(D32)&lt;0.01,"✔ Even","⚠ Pending")</f>
        <v>✔ Even</v>
      </c>
      <c r="G32" s="47"/>
    </row>
    <row r="33" ht="19.5" customHeight="1">
      <c r="A33" s="77" t="str">
        <f>IF(Stakeholders!A4&lt;&gt;"",Stakeholders!A4,"—")</f>
        <v>—</v>
      </c>
      <c r="B33" s="79">
        <f>SUM(Expenses!G4:G1003)</f>
        <v>0</v>
      </c>
      <c r="C33" s="88">
        <f>IFERROR(E4*Stakeholders!E4,0)</f>
        <v>0</v>
      </c>
      <c r="D33" s="80">
        <f t="shared" si="4"/>
        <v>0</v>
      </c>
      <c r="E33" s="89" t="str">
        <f t="shared" si="5"/>
        <v>Settled</v>
      </c>
      <c r="F33" s="81" t="str">
        <f t="shared" si="6"/>
        <v>✔ Even</v>
      </c>
      <c r="G33" s="47"/>
    </row>
    <row r="34" ht="19.5" customHeight="1">
      <c r="A34" s="68" t="str">
        <f>IF(Stakeholders!A5&lt;&gt;"",Stakeholders!A5,"—")</f>
        <v>—</v>
      </c>
      <c r="B34" s="70">
        <f>SUM(Expenses!H4:H1003)</f>
        <v>0</v>
      </c>
      <c r="C34" s="86">
        <f>IFERROR(E4*Stakeholders!E5,0)</f>
        <v>0</v>
      </c>
      <c r="D34" s="71">
        <f t="shared" si="4"/>
        <v>0</v>
      </c>
      <c r="E34" s="87" t="str">
        <f t="shared" si="5"/>
        <v>Settled</v>
      </c>
      <c r="F34" s="72" t="str">
        <f t="shared" si="6"/>
        <v>✔ Even</v>
      </c>
      <c r="G34" s="47"/>
    </row>
    <row r="35" ht="19.5" customHeight="1">
      <c r="A35" s="77" t="str">
        <f>IF(Stakeholders!A6&lt;&gt;"",Stakeholders!A6,"—")</f>
        <v>—</v>
      </c>
      <c r="B35" s="79">
        <f>SUM(Expenses!I4:I1003)</f>
        <v>0</v>
      </c>
      <c r="C35" s="88">
        <f>IFERROR(E4*Stakeholders!E6,0)</f>
        <v>0</v>
      </c>
      <c r="D35" s="80">
        <f t="shared" si="4"/>
        <v>0</v>
      </c>
      <c r="E35" s="89" t="str">
        <f t="shared" si="5"/>
        <v>Settled</v>
      </c>
      <c r="F35" s="81" t="str">
        <f t="shared" si="6"/>
        <v>✔ Even</v>
      </c>
      <c r="G35" s="47"/>
    </row>
    <row r="36" ht="19.5" customHeight="1">
      <c r="A36" s="68" t="str">
        <f>IF(Stakeholders!A7&lt;&gt;"",Stakeholders!A7,"—")</f>
        <v>—</v>
      </c>
      <c r="B36" s="70">
        <f>SUM(Expenses!J4:J1003)</f>
        <v>0</v>
      </c>
      <c r="C36" s="86">
        <f>IFERROR(E4*Stakeholders!E7,0)</f>
        <v>0</v>
      </c>
      <c r="D36" s="71">
        <f t="shared" si="4"/>
        <v>0</v>
      </c>
      <c r="E36" s="87" t="str">
        <f t="shared" si="5"/>
        <v>Settled</v>
      </c>
      <c r="F36" s="72" t="str">
        <f t="shared" si="6"/>
        <v>✔ Even</v>
      </c>
      <c r="G36" s="47"/>
    </row>
    <row r="37" ht="19.5" customHeight="1">
      <c r="A37" s="77" t="str">
        <f>IF(Stakeholders!A8&lt;&gt;"",Stakeholders!A8,"—")</f>
        <v>—</v>
      </c>
      <c r="B37" s="79">
        <f>SUM(Expenses!K4:K1003)</f>
        <v>0</v>
      </c>
      <c r="C37" s="88">
        <f>IFERROR(E4*Stakeholders!E8,0)</f>
        <v>0</v>
      </c>
      <c r="D37" s="80">
        <f t="shared" si="4"/>
        <v>0</v>
      </c>
      <c r="E37" s="89" t="str">
        <f t="shared" si="5"/>
        <v>Settled</v>
      </c>
      <c r="F37" s="81" t="str">
        <f t="shared" si="6"/>
        <v>✔ Even</v>
      </c>
      <c r="G37" s="47"/>
    </row>
    <row r="38" ht="19.5" customHeight="1">
      <c r="A38" s="68" t="str">
        <f>IF(Stakeholders!A9&lt;&gt;"",Stakeholders!A9,"—")</f>
        <v>—</v>
      </c>
      <c r="B38" s="70">
        <f>SUM(Expenses!L4:L1003)</f>
        <v>0</v>
      </c>
      <c r="C38" s="86">
        <f>IFERROR(E4*Stakeholders!E9,0)</f>
        <v>0</v>
      </c>
      <c r="D38" s="71">
        <f t="shared" si="4"/>
        <v>0</v>
      </c>
      <c r="E38" s="87" t="str">
        <f t="shared" si="5"/>
        <v>Settled</v>
      </c>
      <c r="F38" s="72" t="str">
        <f t="shared" si="6"/>
        <v>✔ Even</v>
      </c>
      <c r="G38" s="47"/>
    </row>
    <row r="39" ht="19.5" customHeight="1">
      <c r="A39" s="77" t="str">
        <f>IF(Stakeholders!A10&lt;&gt;"",Stakeholders!A10,"—")</f>
        <v>—</v>
      </c>
      <c r="B39" s="79">
        <f>SUM(Expenses!M4:M1003)</f>
        <v>0</v>
      </c>
      <c r="C39" s="88">
        <f>IFERROR(E4*Stakeholders!E10,0)</f>
        <v>0</v>
      </c>
      <c r="D39" s="80">
        <f t="shared" si="4"/>
        <v>0</v>
      </c>
      <c r="E39" s="89" t="str">
        <f t="shared" si="5"/>
        <v>Settled</v>
      </c>
      <c r="F39" s="81" t="str">
        <f t="shared" si="6"/>
        <v>✔ Even</v>
      </c>
      <c r="G39" s="47"/>
    </row>
    <row r="40" ht="19.5" customHeight="1">
      <c r="A40" s="68" t="str">
        <f>IF(Stakeholders!A11&lt;&gt;"",Stakeholders!A11,"—")</f>
        <v>—</v>
      </c>
      <c r="B40" s="70">
        <f>SUM(Expenses!N4:N1003)</f>
        <v>0</v>
      </c>
      <c r="C40" s="86">
        <f>IFERROR(E4*Stakeholders!E11,0)</f>
        <v>0</v>
      </c>
      <c r="D40" s="71">
        <f t="shared" si="4"/>
        <v>0</v>
      </c>
      <c r="E40" s="87" t="str">
        <f t="shared" si="5"/>
        <v>Settled</v>
      </c>
      <c r="F40" s="72" t="str">
        <f t="shared" si="6"/>
        <v>✔ Even</v>
      </c>
      <c r="G40" s="47"/>
    </row>
    <row r="41" ht="19.5" customHeight="1">
      <c r="A41" s="77" t="str">
        <f>IF(Stakeholders!A12&lt;&gt;"",Stakeholders!A12,"—")</f>
        <v>—</v>
      </c>
      <c r="B41" s="79">
        <f>SUM(Expenses!O4:O1003)</f>
        <v>0</v>
      </c>
      <c r="C41" s="88">
        <f>IFERROR(E4*Stakeholders!E12,0)</f>
        <v>0</v>
      </c>
      <c r="D41" s="80">
        <f t="shared" si="4"/>
        <v>0</v>
      </c>
      <c r="E41" s="89" t="str">
        <f t="shared" si="5"/>
        <v>Settled</v>
      </c>
      <c r="F41" s="81" t="str">
        <f t="shared" si="6"/>
        <v>✔ Even</v>
      </c>
      <c r="G41" s="47"/>
    </row>
    <row r="42" ht="21.75" customHeight="1">
      <c r="A42" s="82" t="s">
        <v>9</v>
      </c>
      <c r="B42" s="47"/>
      <c r="C42" s="17">
        <f t="shared" ref="C42:D42" si="7">SUM(C32:C41)</f>
        <v>0</v>
      </c>
      <c r="D42" s="17">
        <f t="shared" si="7"/>
        <v>0</v>
      </c>
      <c r="E42" s="13"/>
      <c r="F42" s="83"/>
      <c r="G42" s="47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6">
    <mergeCell ref="A9:D9"/>
    <mergeCell ref="E9:G9"/>
    <mergeCell ref="A10:D10"/>
    <mergeCell ref="E10:G10"/>
    <mergeCell ref="A11:D11"/>
    <mergeCell ref="E11:G11"/>
    <mergeCell ref="E13:G13"/>
    <mergeCell ref="A13:D13"/>
    <mergeCell ref="A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A28:B28"/>
    <mergeCell ref="F36:G36"/>
    <mergeCell ref="F37:G37"/>
    <mergeCell ref="F38:G38"/>
    <mergeCell ref="F39:G39"/>
    <mergeCell ref="F40:G40"/>
    <mergeCell ref="F41:G41"/>
    <mergeCell ref="A42:B42"/>
    <mergeCell ref="F42:G42"/>
    <mergeCell ref="F28:G28"/>
    <mergeCell ref="A30:G30"/>
    <mergeCell ref="F31:G31"/>
    <mergeCell ref="F32:G32"/>
    <mergeCell ref="F33:G33"/>
    <mergeCell ref="F34:G34"/>
    <mergeCell ref="F35:G35"/>
    <mergeCell ref="A1:P1"/>
    <mergeCell ref="A3:G3"/>
    <mergeCell ref="I3:P3"/>
    <mergeCell ref="A4:D4"/>
    <mergeCell ref="E4:G4"/>
    <mergeCell ref="I4:L4"/>
    <mergeCell ref="M4:P4"/>
    <mergeCell ref="A5:D5"/>
    <mergeCell ref="E5:G5"/>
    <mergeCell ref="I5:L5"/>
    <mergeCell ref="M5:P5"/>
    <mergeCell ref="E6:G6"/>
    <mergeCell ref="I6:L6"/>
    <mergeCell ref="M6:P6"/>
    <mergeCell ref="A6:D6"/>
    <mergeCell ref="A7:D7"/>
    <mergeCell ref="E7:G7"/>
    <mergeCell ref="I7:L7"/>
    <mergeCell ref="M7:P7"/>
    <mergeCell ref="A8:D8"/>
    <mergeCell ref="E8:G8"/>
    <mergeCell ref="I8:L8"/>
    <mergeCell ref="M8:P8"/>
    <mergeCell ref="I15:P15"/>
    <mergeCell ref="I16:L16"/>
    <mergeCell ref="M16:N16"/>
    <mergeCell ref="I17:L17"/>
    <mergeCell ref="M17:N17"/>
    <mergeCell ref="I18:L18"/>
    <mergeCell ref="M18:N18"/>
    <mergeCell ref="I19:L19"/>
    <mergeCell ref="M19:N19"/>
    <mergeCell ref="I20:L20"/>
    <mergeCell ref="M20:N20"/>
    <mergeCell ref="M21:N21"/>
    <mergeCell ref="I25:L25"/>
    <mergeCell ref="M25:N25"/>
    <mergeCell ref="I26:L26"/>
    <mergeCell ref="M26:N26"/>
    <mergeCell ref="I27:L27"/>
    <mergeCell ref="M27:N27"/>
    <mergeCell ref="I28:L28"/>
    <mergeCell ref="M28:N28"/>
    <mergeCell ref="I21:L21"/>
    <mergeCell ref="I22:L22"/>
    <mergeCell ref="M22:N22"/>
    <mergeCell ref="I23:L23"/>
    <mergeCell ref="M23:N23"/>
    <mergeCell ref="I24:L24"/>
    <mergeCell ref="M24:N24"/>
  </mergeCells>
  <printOptions/>
  <pageMargins bottom="1.0" footer="0.0" header="0.0" left="0.75" right="0.75" top="1.0"/>
  <pageSetup orientation="landscape"/>
  <drawing r:id="rId1"/>
</worksheet>
</file>